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Data Cleaning" sheetId="2" r:id="rId6"/>
    <sheet state="visible" name="Observation" sheetId="3" r:id="rId7"/>
  </sheets>
  <definedNames/>
  <calcPr/>
</workbook>
</file>

<file path=xl/sharedStrings.xml><?xml version="1.0" encoding="utf-8"?>
<sst xmlns="http://schemas.openxmlformats.org/spreadsheetml/2006/main" count="335" uniqueCount="144">
  <si>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</si>
  <si>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</si>
  <si>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</si>
  <si>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</si>
  <si>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</si>
  <si>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</si>
  <si>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</si>
  <si>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</si>
  <si>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</si>
  <si>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</si>
  <si>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</si>
  <si>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</si>
  <si>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</si>
  <si>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</si>
  <si>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</si>
  <si>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</si>
  <si>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</si>
  <si>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</si>
  <si>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</si>
  <si>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</si>
  <si>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</si>
  <si>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</si>
  <si>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</si>
  <si>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</si>
  <si>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</si>
  <si>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</si>
  <si>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</si>
  <si>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</si>
  <si>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</si>
  <si>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</si>
  <si>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</si>
  <si>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</si>
  <si>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</si>
  <si>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</si>
  <si>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</si>
  <si>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</si>
  <si>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</si>
  <si>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</si>
  <si>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</si>
  <si>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</si>
  <si>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</si>
  <si>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</si>
  <si>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</si>
  <si>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</si>
  <si>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</si>
  <si>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</si>
  <si>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</si>
  <si>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</si>
  <si>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</si>
  <si>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</si>
  <si>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</si>
  <si>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</si>
  <si>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</si>
  <si>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</si>
  <si>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</si>
  <si>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</si>
  <si>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</si>
  <si>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</si>
  <si>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</si>
  <si>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</si>
  <si>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</si>
  <si>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</si>
  <si>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</si>
  <si>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</si>
  <si>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</si>
  <si>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</si>
  <si>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</si>
  <si>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</si>
  <si>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</si>
  <si>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</si>
  <si>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</si>
  <si>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</si>
  <si>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</si>
  <si>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</si>
  <si>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</si>
  <si>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</si>
  <si>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</si>
  <si>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</si>
  <si>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</si>
  <si>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</si>
  <si>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</si>
  <si>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</si>
  <si>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</si>
  <si>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</si>
  <si>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</si>
  <si>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</si>
  <si>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</si>
  <si>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</si>
  <si>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</si>
  <si>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</si>
  <si>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</si>
  <si>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</si>
  <si>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</si>
  <si>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</si>
  <si>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Total Price2</t>
  </si>
  <si>
    <t>Total Price3</t>
  </si>
  <si>
    <t>Total Price4</t>
  </si>
  <si>
    <t>Total Price5</t>
  </si>
  <si>
    <t>Total price of all Produts</t>
  </si>
  <si>
    <t>Average Price</t>
  </si>
  <si>
    <t>Product Quantity</t>
  </si>
  <si>
    <t>https://docs.google.com/spreadsheets/d/1qBOfG9J0JaXAbRIqkFYEhjzd9WD2-WGJ/edit?usp=sharing&amp;ouid=110383805336391344886&amp;rtpof=true&amp;sd=true</t>
  </si>
  <si>
    <t>Minimum Price</t>
  </si>
  <si>
    <t>Maximum Price</t>
  </si>
  <si>
    <t>Total Price of Electronics</t>
  </si>
  <si>
    <t>Products Less than 100</t>
  </si>
  <si>
    <t>Total no of Products</t>
  </si>
  <si>
    <t>Observation:</t>
  </si>
  <si>
    <t xml:space="preserve">Assignment 1: </t>
  </si>
  <si>
    <t>Data Exploration:</t>
  </si>
  <si>
    <t>Task 1:</t>
  </si>
  <si>
    <t>In the given data set we have to perform the Data Exploration using Function and formulas.</t>
  </si>
  <si>
    <t>For calculating product details we have performed various following function:</t>
  </si>
  <si>
    <t xml:space="preserve">                                    1. SUM </t>
  </si>
  <si>
    <t xml:space="preserve">                                    2. COUNT</t>
  </si>
  <si>
    <t xml:space="preserve">                                    3. AVERAGE</t>
  </si>
  <si>
    <t>The Formulas are,</t>
  </si>
  <si>
    <t xml:space="preserve">                             =PODUCT(D2:D35)</t>
  </si>
  <si>
    <t xml:space="preserve">                             =AVERAGE(D2:D35)</t>
  </si>
  <si>
    <t xml:space="preserve">                             =COUNT(E2:E35)</t>
  </si>
  <si>
    <t xml:space="preserve">                             =SUM(E2:E35)</t>
  </si>
  <si>
    <t>Task 2:</t>
  </si>
  <si>
    <t>Maximum and Minimum Values:</t>
  </si>
  <si>
    <t>The Minimun price value is predicted using MIN function of</t>
  </si>
  <si>
    <t xml:space="preserve">                                =MIN(D2:D35)     The minimum value is  30</t>
  </si>
  <si>
    <t>The Maximum price value is predicted using MAX function of</t>
  </si>
  <si>
    <t xml:space="preserve">                                 =MAX(D2:D35)    The maximum price value is 1000</t>
  </si>
  <si>
    <t>Task 3:</t>
  </si>
  <si>
    <t>Logical Functions:</t>
  </si>
  <si>
    <t>We have Created the Column named as" Price Range" and predicted the price value of Categorized data of the products using IF Function,</t>
  </si>
  <si>
    <t xml:space="preserve">                    =IF(D2&gt;500,"HIGH PRICE","STANDARD PRICE")</t>
  </si>
  <si>
    <t>Task 4:</t>
  </si>
  <si>
    <t>Conditional Functions:</t>
  </si>
  <si>
    <t>Calculating the Total Price of the Products in Electricals usinf SUMIF condition,</t>
  </si>
  <si>
    <t xml:space="preserve">                        =SUMIF(F2:F35,"Electronics",D2:D35)</t>
  </si>
  <si>
    <t>Total price of Electronis products: 8030</t>
  </si>
  <si>
    <t>The Number of Products Lessthan 100 ,</t>
  </si>
  <si>
    <t>"=COUNTIF(D2:D35,"&lt;100")"</t>
  </si>
  <si>
    <t>Task 5:</t>
  </si>
  <si>
    <t>Text Formatting:</t>
  </si>
  <si>
    <t xml:space="preserve">     For allignment of text in data set is performed using  LEFT, RIGHT,MID functions,</t>
  </si>
  <si>
    <t>Created new column name DAY Range from I1 to I35 using LEFT function   =LEFT(A2,2)</t>
  </si>
  <si>
    <t>Created another column name Country code Range from J1 to J35 using RIGHT function   =RIGHT(A2,2)</t>
  </si>
  <si>
    <t>And created the new column named Month using MID Function   =MID(A2,4,3)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</si>
</sst>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u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  <xf borderId="1" fillId="3" fontId="2" numFmtId="0" xfId="0" applyBorder="1" applyFill="1" applyFont="1"/>
    <xf borderId="1" fillId="4" fontId="2" numFmtId="0" xfId="0" applyBorder="1" applyFill="1" applyFont="1"/>
    <xf borderId="1" fillId="2" fontId="1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1" fillId="3" fontId="2" numFmtId="0" xfId="0" applyBorder="1" applyFont="1"/>
    <xf borderId="1" fillId="3" fontId="2" numFmtId="0" xfId="0" applyAlignment="1" applyBorder="1" applyFont="1">
      <alignment horizontal="center"/>
    </xf>
    <xf borderId="0" fillId="0" fontId="3" numFmtId="0" xfId="0" applyFont="1"/>
    <xf borderId="2" fillId="0" fontId="4" numFmtId="0" xfId="0" applyBorder="1" applyFont="1"/>
    <xf borderId="2" fillId="0" fontId="3" numFmtId="0" xfId="0" applyBorder="1" applyFont="1"/>
    <xf borderId="2" fillId="0" fontId="3" numFmtId="2" xfId="0" applyBorder="1" applyFont="1" applyNumberForma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4" numFmtId="0" xfId="0" applyAlignment="1" applyFont="1">
      <alignment horizontal="center" textRotation="45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</dxfs>
  <tableStyles count="1">
    <tableStyle count="3" pivot="0" name="Data Cleaning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5" displayName="Table_1" name="Table_1" id="1">
  <tableColumns count="11">
    <tableColumn name="Product ID" id="1"/>
    <tableColumn name="Product Name" id="2"/>
    <tableColumn name="Brand Name" id="3"/>
    <tableColumn name="Price ($)" id="4"/>
    <tableColumn name="Quantity" id="5"/>
    <tableColumn name="Category" id="6"/>
    <tableColumn name="Total Price" id="7"/>
    <tableColumn name="Total Price2" id="8"/>
    <tableColumn name="Total Price3" id="9"/>
    <tableColumn name="Total Price4" id="10"/>
    <tableColumn name="Total Price5" id="11"/>
  </tableColumns>
  <tableStyleInfo name="Data Clean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13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ht="15.75" customHeight="1">
      <c r="A2" s="3" t="s">
        <v>6</v>
      </c>
      <c r="B2" s="3" t="s">
        <v>7</v>
      </c>
      <c r="C2" s="3" t="s">
        <v>8</v>
      </c>
      <c r="D2" s="3">
        <v>1000.0</v>
      </c>
      <c r="E2" s="3">
        <v>30.0</v>
      </c>
      <c r="F2" s="3" t="s">
        <v>9</v>
      </c>
      <c r="G2" s="3"/>
    </row>
    <row r="3" ht="15.75" customHeight="1">
      <c r="A3" s="4" t="s">
        <v>10</v>
      </c>
      <c r="B3" s="4" t="s">
        <v>11</v>
      </c>
      <c r="C3" s="4" t="s">
        <v>12</v>
      </c>
      <c r="D3" s="4">
        <v>80.0</v>
      </c>
      <c r="E3" s="4">
        <v>15.0</v>
      </c>
      <c r="F3" s="4" t="s">
        <v>13</v>
      </c>
      <c r="G3" s="3"/>
    </row>
    <row r="4" ht="15.75" customHeight="1">
      <c r="A4" s="3" t="s">
        <v>14</v>
      </c>
      <c r="B4" s="3" t="s">
        <v>15</v>
      </c>
      <c r="C4" s="3" t="s">
        <v>16</v>
      </c>
      <c r="D4" s="3">
        <v>130.0</v>
      </c>
      <c r="E4" s="3">
        <v>40.0</v>
      </c>
      <c r="F4" s="3" t="s">
        <v>17</v>
      </c>
      <c r="G4" s="3"/>
    </row>
    <row r="5" ht="15.75" customHeight="1">
      <c r="A5" s="4" t="s">
        <v>18</v>
      </c>
      <c r="B5" s="4" t="s">
        <v>19</v>
      </c>
      <c r="C5" s="4" t="s">
        <v>20</v>
      </c>
      <c r="D5" s="4">
        <v>900.0</v>
      </c>
      <c r="E5" s="4">
        <v>25.0</v>
      </c>
      <c r="F5" s="4" t="s">
        <v>9</v>
      </c>
      <c r="G5" s="3"/>
    </row>
    <row r="6" ht="15.75" customHeight="1">
      <c r="A6" s="3" t="s">
        <v>21</v>
      </c>
      <c r="B6" s="3" t="s">
        <v>22</v>
      </c>
      <c r="C6" s="3" t="s">
        <v>23</v>
      </c>
      <c r="D6" s="3">
        <v>70.0</v>
      </c>
      <c r="E6" s="3">
        <v>20.0</v>
      </c>
      <c r="F6" s="3" t="s">
        <v>24</v>
      </c>
      <c r="G6" s="3"/>
    </row>
    <row r="7" ht="15.75" customHeight="1">
      <c r="A7" s="4" t="s">
        <v>25</v>
      </c>
      <c r="B7" s="4" t="s">
        <v>26</v>
      </c>
      <c r="C7" s="4" t="s">
        <v>27</v>
      </c>
      <c r="D7" s="4">
        <v>200.0</v>
      </c>
      <c r="E7" s="4">
        <v>45.0</v>
      </c>
      <c r="F7" s="4" t="s">
        <v>9</v>
      </c>
      <c r="G7" s="3"/>
    </row>
    <row r="8" ht="15.75" customHeight="1">
      <c r="A8" s="3" t="s">
        <v>28</v>
      </c>
      <c r="B8" s="3" t="s">
        <v>29</v>
      </c>
      <c r="C8" s="3" t="s">
        <v>30</v>
      </c>
      <c r="D8" s="3">
        <v>30.0</v>
      </c>
      <c r="E8" s="3">
        <v>5.0</v>
      </c>
      <c r="F8" s="3" t="s">
        <v>13</v>
      </c>
      <c r="G8" s="3"/>
    </row>
    <row r="9" ht="15.75" customHeight="1">
      <c r="A9" s="4" t="s">
        <v>31</v>
      </c>
      <c r="B9" s="4" t="s">
        <v>32</v>
      </c>
      <c r="C9" s="4" t="s">
        <v>33</v>
      </c>
      <c r="D9" s="4">
        <v>90.0</v>
      </c>
      <c r="E9" s="4">
        <v>35.0</v>
      </c>
      <c r="F9" s="4" t="s">
        <v>17</v>
      </c>
      <c r="G9" s="3"/>
    </row>
    <row r="10" ht="15.75" customHeight="1">
      <c r="A10" s="3" t="s">
        <v>34</v>
      </c>
      <c r="B10" s="3" t="s">
        <v>35</v>
      </c>
      <c r="C10" s="3" t="s">
        <v>36</v>
      </c>
      <c r="D10" s="3">
        <v>500.0</v>
      </c>
      <c r="E10" s="3">
        <v>50.0</v>
      </c>
      <c r="F10" s="3" t="s">
        <v>9</v>
      </c>
      <c r="G10" s="3"/>
    </row>
    <row r="11" ht="15.75" customHeight="1">
      <c r="A11" s="4" t="s">
        <v>37</v>
      </c>
      <c r="B11" s="4" t="s">
        <v>38</v>
      </c>
      <c r="C11" s="4" t="s">
        <v>39</v>
      </c>
      <c r="D11" s="4">
        <v>130.0</v>
      </c>
      <c r="E11" s="4">
        <v>10.0</v>
      </c>
      <c r="F11" s="4" t="s">
        <v>24</v>
      </c>
      <c r="G11" s="3"/>
    </row>
    <row r="12" ht="15.75" customHeight="1">
      <c r="A12" s="3" t="s">
        <v>40</v>
      </c>
      <c r="B12" s="3" t="s">
        <v>7</v>
      </c>
      <c r="C12" s="3" t="s">
        <v>41</v>
      </c>
      <c r="D12" s="3">
        <v>950.0</v>
      </c>
      <c r="E12" s="3">
        <v>25.0</v>
      </c>
      <c r="F12" s="3" t="s">
        <v>9</v>
      </c>
      <c r="G12" s="3"/>
    </row>
    <row r="13" ht="15.75" customHeight="1">
      <c r="A13" s="4" t="s">
        <v>42</v>
      </c>
      <c r="B13" s="4" t="s">
        <v>11</v>
      </c>
      <c r="C13" s="4" t="s">
        <v>30</v>
      </c>
      <c r="D13" s="4">
        <v>90.0</v>
      </c>
      <c r="E13" s="4">
        <v>40.0</v>
      </c>
      <c r="F13" s="4" t="s">
        <v>13</v>
      </c>
      <c r="G13" s="3"/>
    </row>
    <row r="14" ht="15.75" customHeight="1">
      <c r="A14" s="3" t="s">
        <v>43</v>
      </c>
      <c r="B14" s="3" t="s">
        <v>15</v>
      </c>
      <c r="C14" s="3" t="s">
        <v>44</v>
      </c>
      <c r="D14" s="3">
        <v>120.0</v>
      </c>
      <c r="E14" s="3">
        <v>35.0</v>
      </c>
      <c r="F14" s="3" t="s">
        <v>17</v>
      </c>
      <c r="G14" s="3"/>
    </row>
    <row r="15" ht="15.75" customHeight="1">
      <c r="A15" s="4" t="s">
        <v>45</v>
      </c>
      <c r="B15" s="4" t="s">
        <v>46</v>
      </c>
      <c r="C15" s="4" t="s">
        <v>47</v>
      </c>
      <c r="D15" s="4">
        <v>150.0</v>
      </c>
      <c r="E15" s="4">
        <v>15.0</v>
      </c>
      <c r="F15" s="4" t="s">
        <v>9</v>
      </c>
      <c r="G15" s="3"/>
    </row>
    <row r="16" ht="15.75" customHeight="1">
      <c r="A16" s="3" t="s">
        <v>48</v>
      </c>
      <c r="B16" s="3" t="s">
        <v>26</v>
      </c>
      <c r="C16" s="3" t="s">
        <v>49</v>
      </c>
      <c r="D16" s="3">
        <v>250.0</v>
      </c>
      <c r="E16" s="3">
        <v>20.0</v>
      </c>
      <c r="F16" s="3" t="s">
        <v>9</v>
      </c>
      <c r="G16" s="3"/>
    </row>
    <row r="17" ht="15.75" customHeight="1">
      <c r="A17" s="4" t="s">
        <v>50</v>
      </c>
      <c r="B17" s="4" t="s">
        <v>51</v>
      </c>
      <c r="C17" s="4" t="s">
        <v>52</v>
      </c>
      <c r="D17" s="4">
        <v>50.0</v>
      </c>
      <c r="E17" s="4">
        <v>35.0</v>
      </c>
      <c r="F17" s="4" t="s">
        <v>53</v>
      </c>
      <c r="G17" s="3"/>
    </row>
    <row r="18" ht="15.75" customHeight="1">
      <c r="A18" s="3" t="s">
        <v>54</v>
      </c>
      <c r="B18" s="3" t="s">
        <v>46</v>
      </c>
      <c r="C18" s="3" t="s">
        <v>55</v>
      </c>
      <c r="D18" s="3">
        <v>160.0</v>
      </c>
      <c r="E18" s="3">
        <v>15.0</v>
      </c>
      <c r="F18" s="3" t="s">
        <v>9</v>
      </c>
      <c r="G18" s="3"/>
    </row>
    <row r="19" ht="15.75" customHeight="1">
      <c r="A19" s="4" t="s">
        <v>56</v>
      </c>
      <c r="B19" s="4" t="s">
        <v>7</v>
      </c>
      <c r="C19" s="4" t="s">
        <v>57</v>
      </c>
      <c r="D19" s="4">
        <v>980.0</v>
      </c>
      <c r="E19" s="4">
        <v>10.0</v>
      </c>
      <c r="F19" s="4" t="s">
        <v>9</v>
      </c>
      <c r="G19" s="3"/>
    </row>
    <row r="20" ht="15.75" customHeight="1">
      <c r="A20" s="3" t="s">
        <v>58</v>
      </c>
      <c r="B20" s="3" t="s">
        <v>59</v>
      </c>
      <c r="C20" s="3" t="s">
        <v>60</v>
      </c>
      <c r="D20" s="3">
        <v>150.0</v>
      </c>
      <c r="E20" s="3">
        <v>15.0</v>
      </c>
      <c r="F20" s="3" t="s">
        <v>13</v>
      </c>
      <c r="G20" s="3"/>
    </row>
    <row r="21" ht="15.75" customHeight="1">
      <c r="A21" s="4" t="s">
        <v>61</v>
      </c>
      <c r="B21" s="4" t="s">
        <v>62</v>
      </c>
      <c r="C21" s="4" t="s">
        <v>63</v>
      </c>
      <c r="D21" s="4">
        <v>200.0</v>
      </c>
      <c r="E21" s="4">
        <v>10.0</v>
      </c>
      <c r="F21" s="4" t="s">
        <v>24</v>
      </c>
      <c r="G21" s="3"/>
    </row>
    <row r="22" ht="15.75" customHeight="1">
      <c r="A22" s="3" t="s">
        <v>64</v>
      </c>
      <c r="B22" s="3" t="s">
        <v>65</v>
      </c>
      <c r="C22" s="3" t="s">
        <v>66</v>
      </c>
      <c r="D22" s="3">
        <v>700.0</v>
      </c>
      <c r="E22" s="3">
        <v>50.0</v>
      </c>
      <c r="F22" s="3" t="s">
        <v>9</v>
      </c>
      <c r="G22" s="3"/>
    </row>
    <row r="23" ht="15.75" customHeight="1">
      <c r="A23" s="4" t="s">
        <v>67</v>
      </c>
      <c r="B23" s="4" t="s">
        <v>68</v>
      </c>
      <c r="C23" s="4" t="s">
        <v>69</v>
      </c>
      <c r="D23" s="4">
        <v>80.0</v>
      </c>
      <c r="E23" s="4">
        <v>20.0</v>
      </c>
      <c r="F23" s="4" t="s">
        <v>17</v>
      </c>
      <c r="G23" s="3"/>
    </row>
    <row r="24" ht="15.75" customHeight="1">
      <c r="A24" s="3" t="s">
        <v>70</v>
      </c>
      <c r="B24" s="3" t="s">
        <v>71</v>
      </c>
      <c r="C24" s="3" t="s">
        <v>72</v>
      </c>
      <c r="D24" s="3">
        <v>150.0</v>
      </c>
      <c r="E24" s="3">
        <v>30.0</v>
      </c>
      <c r="F24" s="3" t="s">
        <v>9</v>
      </c>
      <c r="G24" s="3"/>
    </row>
    <row r="25" ht="15.75" customHeight="1">
      <c r="A25" s="4" t="s">
        <v>50</v>
      </c>
      <c r="B25" s="4" t="s">
        <v>51</v>
      </c>
      <c r="C25" s="4" t="s">
        <v>52</v>
      </c>
      <c r="D25" s="4">
        <v>50.0</v>
      </c>
      <c r="E25" s="4">
        <v>35.0</v>
      </c>
      <c r="F25" s="4" t="s">
        <v>53</v>
      </c>
      <c r="G25" s="5"/>
    </row>
    <row r="26" ht="15.75" customHeight="1">
      <c r="A26" s="3" t="s">
        <v>73</v>
      </c>
      <c r="B26" s="3" t="s">
        <v>19</v>
      </c>
      <c r="C26" s="3" t="s">
        <v>74</v>
      </c>
      <c r="D26" s="3">
        <v>800.0</v>
      </c>
      <c r="E26" s="3">
        <v>45.0</v>
      </c>
      <c r="F26" s="3" t="s">
        <v>9</v>
      </c>
      <c r="G26" s="3"/>
    </row>
    <row r="27" ht="15.75" customHeight="1">
      <c r="A27" s="4" t="s">
        <v>75</v>
      </c>
      <c r="B27" s="4" t="s">
        <v>59</v>
      </c>
      <c r="C27" s="4" t="s">
        <v>76</v>
      </c>
      <c r="D27" s="4">
        <v>130.0</v>
      </c>
      <c r="E27" s="4">
        <v>25.0</v>
      </c>
      <c r="F27" s="4" t="s">
        <v>13</v>
      </c>
      <c r="G27" s="3"/>
    </row>
    <row r="28" ht="15.75" customHeight="1">
      <c r="A28" s="3" t="s">
        <v>77</v>
      </c>
      <c r="B28" s="3" t="s">
        <v>32</v>
      </c>
      <c r="C28" s="3" t="s">
        <v>78</v>
      </c>
      <c r="D28" s="3">
        <v>400.0</v>
      </c>
      <c r="E28" s="3">
        <v>40.0</v>
      </c>
      <c r="F28" s="3" t="s">
        <v>17</v>
      </c>
      <c r="G28" s="3"/>
    </row>
    <row r="29" ht="15.75" customHeight="1">
      <c r="A29" s="4" t="s">
        <v>48</v>
      </c>
      <c r="B29" s="4" t="s">
        <v>26</v>
      </c>
      <c r="C29" s="4" t="s">
        <v>49</v>
      </c>
      <c r="D29" s="4">
        <v>230.0</v>
      </c>
      <c r="E29" s="4">
        <v>20.0</v>
      </c>
      <c r="F29" s="4" t="s">
        <v>9</v>
      </c>
      <c r="G29" s="5"/>
    </row>
    <row r="30" ht="15.75" customHeight="1">
      <c r="A30" s="3" t="s">
        <v>79</v>
      </c>
      <c r="B30" s="3" t="s">
        <v>80</v>
      </c>
      <c r="C30" s="3" t="s">
        <v>81</v>
      </c>
      <c r="D30" s="3">
        <v>60.0</v>
      </c>
      <c r="E30" s="3">
        <v>30.0</v>
      </c>
      <c r="F30" s="3" t="s">
        <v>13</v>
      </c>
      <c r="G30" s="3"/>
    </row>
    <row r="31" ht="15.75" customHeight="1">
      <c r="A31" s="4" t="s">
        <v>82</v>
      </c>
      <c r="B31" s="4" t="s">
        <v>83</v>
      </c>
      <c r="C31" s="4" t="s">
        <v>84</v>
      </c>
      <c r="D31" s="4">
        <v>40.0</v>
      </c>
      <c r="E31" s="4">
        <v>10.0</v>
      </c>
      <c r="F31" s="4" t="s">
        <v>17</v>
      </c>
      <c r="G31" s="3"/>
    </row>
    <row r="32" ht="15.75" customHeight="1">
      <c r="A32" s="3" t="s">
        <v>85</v>
      </c>
      <c r="B32" s="3" t="s">
        <v>71</v>
      </c>
      <c r="C32" s="3" t="s">
        <v>86</v>
      </c>
      <c r="D32" s="3">
        <v>130.0</v>
      </c>
      <c r="E32" s="3">
        <v>5.0</v>
      </c>
      <c r="F32" s="3" t="s">
        <v>9</v>
      </c>
      <c r="G32" s="3"/>
    </row>
    <row r="33" ht="15.75" customHeight="1">
      <c r="A33" s="4" t="s">
        <v>87</v>
      </c>
      <c r="B33" s="4" t="s">
        <v>88</v>
      </c>
      <c r="C33" s="4" t="s">
        <v>89</v>
      </c>
      <c r="D33" s="4">
        <v>50.0</v>
      </c>
      <c r="E33" s="4">
        <v>50.0</v>
      </c>
      <c r="F33" s="4" t="s">
        <v>13</v>
      </c>
      <c r="G33" s="3"/>
    </row>
    <row r="34" ht="15.75" customHeight="1">
      <c r="A34" s="3" t="s">
        <v>40</v>
      </c>
      <c r="B34" s="3" t="s">
        <v>7</v>
      </c>
      <c r="C34" s="3" t="s">
        <v>41</v>
      </c>
      <c r="D34" s="3">
        <v>950.0</v>
      </c>
      <c r="E34" s="3">
        <v>25.0</v>
      </c>
      <c r="F34" s="3" t="s">
        <v>9</v>
      </c>
      <c r="G34" s="3"/>
    </row>
    <row r="35" ht="15.75" customHeight="1">
      <c r="A35" s="4" t="s">
        <v>90</v>
      </c>
      <c r="B35" s="4" t="s">
        <v>91</v>
      </c>
      <c r="C35" s="4" t="s">
        <v>92</v>
      </c>
      <c r="D35" s="4">
        <v>100.0</v>
      </c>
      <c r="E35" s="4">
        <v>20.0</v>
      </c>
      <c r="F35" s="4" t="s">
        <v>53</v>
      </c>
      <c r="G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2.88"/>
    <col customWidth="1" min="3" max="3" width="15.13"/>
    <col customWidth="1" min="4" max="4" width="12.0"/>
    <col customWidth="1" min="5" max="5" width="15.38"/>
    <col customWidth="1" min="6" max="6" width="25.38"/>
    <col customWidth="1" min="7" max="7" width="13.38"/>
    <col customWidth="1" min="8" max="9" width="16.38"/>
    <col customWidth="1" min="10" max="10" width="19.63"/>
    <col customWidth="1" min="11" max="11" width="11.88"/>
    <col customWidth="1" min="12" max="26" width="8.63"/>
  </cols>
  <sheetData>
    <row r="1" ht="12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93</v>
      </c>
      <c r="H1" s="6" t="s">
        <v>94</v>
      </c>
      <c r="I1" s="6" t="s">
        <v>95</v>
      </c>
      <c r="J1" s="6" t="s">
        <v>96</v>
      </c>
      <c r="K1" s="6" t="s">
        <v>97</v>
      </c>
    </row>
    <row r="2" ht="12.75" customHeight="1">
      <c r="A2" s="7" t="s">
        <v>6</v>
      </c>
      <c r="B2" s="7" t="s">
        <v>7</v>
      </c>
      <c r="C2" s="7" t="s">
        <v>8</v>
      </c>
      <c r="D2" s="7">
        <v>1000.0</v>
      </c>
      <c r="E2" s="8">
        <v>30.0</v>
      </c>
      <c r="F2" s="7" t="s">
        <v>9</v>
      </c>
      <c r="G2" s="9">
        <f t="shared" ref="G2:G35" si="1">PRODUCT(D2:E2)</f>
        <v>30000</v>
      </c>
      <c r="H2" s="9" t="str">
        <f t="shared" ref="H2:H35" si="2">IF(D2&gt;500,"High Price","Standard Price")</f>
        <v>High Price</v>
      </c>
      <c r="I2" s="9" t="str">
        <f t="shared" ref="I2:I36" si="3">LEFT(A2,2)</f>
        <v>28</v>
      </c>
      <c r="J2" s="9" t="str">
        <f t="shared" ref="J2:J36" si="4">RIGHT(A2,2)</f>
        <v>US</v>
      </c>
      <c r="K2" s="9" t="str">
        <f t="shared" ref="K2:K36" si="5">MID(A2,4,3)</f>
        <v>JAN</v>
      </c>
    </row>
    <row r="3" ht="12.75" customHeight="1">
      <c r="A3" s="9" t="s">
        <v>10</v>
      </c>
      <c r="B3" s="9" t="s">
        <v>11</v>
      </c>
      <c r="C3" s="9" t="s">
        <v>12</v>
      </c>
      <c r="D3" s="9">
        <v>80.0</v>
      </c>
      <c r="E3" s="10">
        <v>15.0</v>
      </c>
      <c r="F3" s="9" t="s">
        <v>13</v>
      </c>
      <c r="G3" s="9">
        <f t="shared" si="1"/>
        <v>1200</v>
      </c>
      <c r="H3" s="9" t="str">
        <f t="shared" si="2"/>
        <v>Standard Price</v>
      </c>
      <c r="I3" s="9" t="str">
        <f t="shared" si="3"/>
        <v>15</v>
      </c>
      <c r="J3" s="9" t="str">
        <f t="shared" si="4"/>
        <v>US</v>
      </c>
      <c r="K3" s="9" t="str">
        <f t="shared" si="5"/>
        <v>FEB</v>
      </c>
    </row>
    <row r="4" ht="12.75" customHeight="1">
      <c r="A4" s="7" t="s">
        <v>14</v>
      </c>
      <c r="B4" s="7" t="s">
        <v>15</v>
      </c>
      <c r="C4" s="7" t="s">
        <v>16</v>
      </c>
      <c r="D4" s="7">
        <v>130.0</v>
      </c>
      <c r="E4" s="8">
        <v>40.0</v>
      </c>
      <c r="F4" s="7" t="s">
        <v>17</v>
      </c>
      <c r="G4" s="9">
        <f t="shared" si="1"/>
        <v>5200</v>
      </c>
      <c r="H4" s="9" t="str">
        <f t="shared" si="2"/>
        <v>Standard Price</v>
      </c>
      <c r="I4" s="9" t="str">
        <f t="shared" si="3"/>
        <v>03</v>
      </c>
      <c r="J4" s="9" t="str">
        <f t="shared" si="4"/>
        <v>US</v>
      </c>
      <c r="K4" s="9" t="str">
        <f t="shared" si="5"/>
        <v>MAR</v>
      </c>
    </row>
    <row r="5" ht="12.75" customHeight="1">
      <c r="A5" s="9" t="s">
        <v>18</v>
      </c>
      <c r="B5" s="9" t="s">
        <v>19</v>
      </c>
      <c r="C5" s="9" t="s">
        <v>20</v>
      </c>
      <c r="D5" s="9">
        <v>900.0</v>
      </c>
      <c r="E5" s="10">
        <v>25.0</v>
      </c>
      <c r="F5" s="9" t="s">
        <v>9</v>
      </c>
      <c r="G5" s="9">
        <f t="shared" si="1"/>
        <v>22500</v>
      </c>
      <c r="H5" s="9" t="str">
        <f t="shared" si="2"/>
        <v>High Price</v>
      </c>
      <c r="I5" s="9" t="str">
        <f t="shared" si="3"/>
        <v>11</v>
      </c>
      <c r="J5" s="9" t="str">
        <f t="shared" si="4"/>
        <v>US</v>
      </c>
      <c r="K5" s="9" t="str">
        <f t="shared" si="5"/>
        <v>APR</v>
      </c>
    </row>
    <row r="6" ht="12.75" customHeight="1">
      <c r="A6" s="7" t="s">
        <v>21</v>
      </c>
      <c r="B6" s="7" t="s">
        <v>22</v>
      </c>
      <c r="C6" s="7" t="s">
        <v>23</v>
      </c>
      <c r="D6" s="7">
        <v>70.0</v>
      </c>
      <c r="E6" s="8">
        <v>20.0</v>
      </c>
      <c r="F6" s="7" t="s">
        <v>24</v>
      </c>
      <c r="G6" s="9">
        <f t="shared" si="1"/>
        <v>1400</v>
      </c>
      <c r="H6" s="9" t="str">
        <f t="shared" si="2"/>
        <v>Standard Price</v>
      </c>
      <c r="I6" s="9" t="str">
        <f t="shared" si="3"/>
        <v>22</v>
      </c>
      <c r="J6" s="9" t="str">
        <f t="shared" si="4"/>
        <v>US</v>
      </c>
      <c r="K6" s="9" t="str">
        <f t="shared" si="5"/>
        <v>MAY</v>
      </c>
    </row>
    <row r="7" ht="12.75" customHeight="1">
      <c r="A7" s="9" t="s">
        <v>25</v>
      </c>
      <c r="B7" s="9" t="s">
        <v>26</v>
      </c>
      <c r="C7" s="9" t="s">
        <v>27</v>
      </c>
      <c r="D7" s="9">
        <v>200.0</v>
      </c>
      <c r="E7" s="10">
        <v>45.0</v>
      </c>
      <c r="F7" s="9" t="s">
        <v>9</v>
      </c>
      <c r="G7" s="9">
        <f t="shared" si="1"/>
        <v>9000</v>
      </c>
      <c r="H7" s="9" t="str">
        <f t="shared" si="2"/>
        <v>Standard Price</v>
      </c>
      <c r="I7" s="9" t="str">
        <f t="shared" si="3"/>
        <v>07</v>
      </c>
      <c r="J7" s="9" t="str">
        <f t="shared" si="4"/>
        <v>UK</v>
      </c>
      <c r="K7" s="9" t="str">
        <f t="shared" si="5"/>
        <v>JUN</v>
      </c>
    </row>
    <row r="8" ht="12.75" customHeight="1">
      <c r="A8" s="7" t="s">
        <v>28</v>
      </c>
      <c r="B8" s="7" t="s">
        <v>29</v>
      </c>
      <c r="C8" s="7" t="s">
        <v>30</v>
      </c>
      <c r="D8" s="7">
        <v>30.0</v>
      </c>
      <c r="E8" s="8">
        <v>5.0</v>
      </c>
      <c r="F8" s="7" t="s">
        <v>13</v>
      </c>
      <c r="G8" s="9">
        <f t="shared" si="1"/>
        <v>150</v>
      </c>
      <c r="H8" s="9" t="str">
        <f t="shared" si="2"/>
        <v>Standard Price</v>
      </c>
      <c r="I8" s="9" t="str">
        <f t="shared" si="3"/>
        <v>19</v>
      </c>
      <c r="J8" s="9" t="str">
        <f t="shared" si="4"/>
        <v>UK</v>
      </c>
      <c r="K8" s="9" t="str">
        <f t="shared" si="5"/>
        <v>JUL</v>
      </c>
    </row>
    <row r="9" ht="12.75" customHeight="1">
      <c r="A9" s="9" t="s">
        <v>31</v>
      </c>
      <c r="B9" s="9" t="s">
        <v>32</v>
      </c>
      <c r="C9" s="9" t="s">
        <v>33</v>
      </c>
      <c r="D9" s="9">
        <v>90.0</v>
      </c>
      <c r="E9" s="10">
        <v>35.0</v>
      </c>
      <c r="F9" s="9" t="s">
        <v>17</v>
      </c>
      <c r="G9" s="9">
        <f t="shared" si="1"/>
        <v>3150</v>
      </c>
      <c r="H9" s="9" t="str">
        <f t="shared" si="2"/>
        <v>Standard Price</v>
      </c>
      <c r="I9" s="9" t="str">
        <f t="shared" si="3"/>
        <v>23</v>
      </c>
      <c r="J9" s="9" t="str">
        <f t="shared" si="4"/>
        <v>UK</v>
      </c>
      <c r="K9" s="9" t="str">
        <f t="shared" si="5"/>
        <v>AUG</v>
      </c>
    </row>
    <row r="10" ht="12.75" customHeight="1">
      <c r="A10" s="7" t="s">
        <v>34</v>
      </c>
      <c r="B10" s="7" t="s">
        <v>35</v>
      </c>
      <c r="C10" s="7" t="s">
        <v>36</v>
      </c>
      <c r="D10" s="7">
        <v>500.0</v>
      </c>
      <c r="E10" s="8">
        <v>50.0</v>
      </c>
      <c r="F10" s="7" t="s">
        <v>9</v>
      </c>
      <c r="G10" s="9">
        <f t="shared" si="1"/>
        <v>25000</v>
      </c>
      <c r="H10" s="9" t="str">
        <f t="shared" si="2"/>
        <v>Standard Price</v>
      </c>
      <c r="I10" s="9" t="str">
        <f t="shared" si="3"/>
        <v>05</v>
      </c>
      <c r="J10" s="9" t="str">
        <f t="shared" si="4"/>
        <v>UK</v>
      </c>
      <c r="K10" s="9" t="str">
        <f t="shared" si="5"/>
        <v>SEP</v>
      </c>
    </row>
    <row r="11" ht="12.75" customHeight="1">
      <c r="A11" s="9" t="s">
        <v>37</v>
      </c>
      <c r="B11" s="9" t="s">
        <v>38</v>
      </c>
      <c r="C11" s="9" t="s">
        <v>39</v>
      </c>
      <c r="D11" s="9">
        <v>130.0</v>
      </c>
      <c r="E11" s="10">
        <v>10.0</v>
      </c>
      <c r="F11" s="9" t="s">
        <v>24</v>
      </c>
      <c r="G11" s="9">
        <f t="shared" si="1"/>
        <v>1300</v>
      </c>
      <c r="H11" s="9" t="str">
        <f t="shared" si="2"/>
        <v>Standard Price</v>
      </c>
      <c r="I11" s="9" t="str">
        <f t="shared" si="3"/>
        <v>14</v>
      </c>
      <c r="J11" s="9" t="str">
        <f t="shared" si="4"/>
        <v>UK</v>
      </c>
      <c r="K11" s="9" t="str">
        <f t="shared" si="5"/>
        <v>OCT</v>
      </c>
    </row>
    <row r="12" ht="12.75" customHeight="1">
      <c r="A12" s="7" t="s">
        <v>40</v>
      </c>
      <c r="B12" s="7" t="s">
        <v>7</v>
      </c>
      <c r="C12" s="7" t="s">
        <v>41</v>
      </c>
      <c r="D12" s="7">
        <v>950.0</v>
      </c>
      <c r="E12" s="8">
        <v>25.0</v>
      </c>
      <c r="F12" s="7" t="s">
        <v>9</v>
      </c>
      <c r="G12" s="9">
        <f t="shared" si="1"/>
        <v>23750</v>
      </c>
      <c r="H12" s="9" t="str">
        <f t="shared" si="2"/>
        <v>High Price</v>
      </c>
      <c r="I12" s="9" t="str">
        <f t="shared" si="3"/>
        <v>17</v>
      </c>
      <c r="J12" s="9" t="str">
        <f t="shared" si="4"/>
        <v>IN</v>
      </c>
      <c r="K12" s="9" t="str">
        <f t="shared" si="5"/>
        <v>JUN</v>
      </c>
    </row>
    <row r="13" ht="12.75" customHeight="1">
      <c r="A13" s="9" t="s">
        <v>42</v>
      </c>
      <c r="B13" s="9" t="s">
        <v>11</v>
      </c>
      <c r="C13" s="9" t="s">
        <v>30</v>
      </c>
      <c r="D13" s="9">
        <v>90.0</v>
      </c>
      <c r="E13" s="10">
        <v>40.0</v>
      </c>
      <c r="F13" s="9" t="s">
        <v>13</v>
      </c>
      <c r="G13" s="9">
        <f t="shared" si="1"/>
        <v>3600</v>
      </c>
      <c r="H13" s="9" t="str">
        <f t="shared" si="2"/>
        <v>Standard Price</v>
      </c>
      <c r="I13" s="9" t="str">
        <f t="shared" si="3"/>
        <v>25</v>
      </c>
      <c r="J13" s="9" t="str">
        <f t="shared" si="4"/>
        <v>AU</v>
      </c>
      <c r="K13" s="9" t="str">
        <f t="shared" si="5"/>
        <v>NOV</v>
      </c>
    </row>
    <row r="14" ht="12.75" customHeight="1">
      <c r="A14" s="7" t="s">
        <v>43</v>
      </c>
      <c r="B14" s="7" t="s">
        <v>15</v>
      </c>
      <c r="C14" s="7" t="s">
        <v>44</v>
      </c>
      <c r="D14" s="7">
        <v>120.0</v>
      </c>
      <c r="E14" s="8">
        <v>35.0</v>
      </c>
      <c r="F14" s="7" t="s">
        <v>17</v>
      </c>
      <c r="G14" s="9">
        <f t="shared" si="1"/>
        <v>4200</v>
      </c>
      <c r="H14" s="9" t="str">
        <f t="shared" si="2"/>
        <v>Standard Price</v>
      </c>
      <c r="I14" s="9" t="str">
        <f t="shared" si="3"/>
        <v>08</v>
      </c>
      <c r="J14" s="9" t="str">
        <f t="shared" si="4"/>
        <v>DE</v>
      </c>
      <c r="K14" s="9" t="str">
        <f t="shared" si="5"/>
        <v>DEC</v>
      </c>
    </row>
    <row r="15" ht="12.75" customHeight="1">
      <c r="A15" s="9" t="s">
        <v>45</v>
      </c>
      <c r="B15" s="9" t="s">
        <v>46</v>
      </c>
      <c r="C15" s="9" t="s">
        <v>47</v>
      </c>
      <c r="D15" s="9">
        <v>150.0</v>
      </c>
      <c r="E15" s="10">
        <v>15.0</v>
      </c>
      <c r="F15" s="9" t="s">
        <v>9</v>
      </c>
      <c r="G15" s="9">
        <f t="shared" si="1"/>
        <v>2250</v>
      </c>
      <c r="H15" s="9" t="str">
        <f t="shared" si="2"/>
        <v>Standard Price</v>
      </c>
      <c r="I15" s="9" t="str">
        <f t="shared" si="3"/>
        <v>18</v>
      </c>
      <c r="J15" s="9" t="str">
        <f t="shared" si="4"/>
        <v>CA</v>
      </c>
      <c r="K15" s="9" t="str">
        <f t="shared" si="5"/>
        <v>FEB</v>
      </c>
    </row>
    <row r="16" ht="12.75" customHeight="1">
      <c r="A16" s="7" t="s">
        <v>48</v>
      </c>
      <c r="B16" s="7" t="s">
        <v>26</v>
      </c>
      <c r="C16" s="7" t="s">
        <v>49</v>
      </c>
      <c r="D16" s="7">
        <v>250.0</v>
      </c>
      <c r="E16" s="8">
        <v>20.0</v>
      </c>
      <c r="F16" s="7" t="s">
        <v>9</v>
      </c>
      <c r="G16" s="9">
        <f t="shared" si="1"/>
        <v>5000</v>
      </c>
      <c r="H16" s="9" t="str">
        <f t="shared" si="2"/>
        <v>Standard Price</v>
      </c>
      <c r="I16" s="9" t="str">
        <f t="shared" si="3"/>
        <v>16</v>
      </c>
      <c r="J16" s="9" t="str">
        <f t="shared" si="4"/>
        <v>ES</v>
      </c>
      <c r="K16" s="9" t="str">
        <f t="shared" si="5"/>
        <v>APR</v>
      </c>
    </row>
    <row r="17" ht="12.75" customHeight="1">
      <c r="A17" s="9" t="s">
        <v>50</v>
      </c>
      <c r="B17" s="9" t="s">
        <v>51</v>
      </c>
      <c r="C17" s="9" t="s">
        <v>52</v>
      </c>
      <c r="D17" s="9">
        <v>50.0</v>
      </c>
      <c r="E17" s="10">
        <v>35.0</v>
      </c>
      <c r="F17" s="9" t="s">
        <v>53</v>
      </c>
      <c r="G17" s="9">
        <f t="shared" si="1"/>
        <v>1750</v>
      </c>
      <c r="H17" s="9" t="str">
        <f t="shared" si="2"/>
        <v>Standard Price</v>
      </c>
      <c r="I17" s="9" t="str">
        <f t="shared" si="3"/>
        <v>21</v>
      </c>
      <c r="J17" s="9" t="str">
        <f t="shared" si="4"/>
        <v>CA</v>
      </c>
      <c r="K17" s="9" t="str">
        <f t="shared" si="5"/>
        <v>AUG</v>
      </c>
    </row>
    <row r="18" ht="12.75" customHeight="1">
      <c r="A18" s="7" t="s">
        <v>54</v>
      </c>
      <c r="B18" s="7" t="s">
        <v>46</v>
      </c>
      <c r="C18" s="7" t="s">
        <v>55</v>
      </c>
      <c r="D18" s="7">
        <v>160.0</v>
      </c>
      <c r="E18" s="8">
        <v>15.0</v>
      </c>
      <c r="F18" s="7" t="s">
        <v>9</v>
      </c>
      <c r="G18" s="9">
        <f t="shared" si="1"/>
        <v>2400</v>
      </c>
      <c r="H18" s="9" t="str">
        <f t="shared" si="2"/>
        <v>Standard Price</v>
      </c>
      <c r="I18" s="9" t="str">
        <f t="shared" si="3"/>
        <v>20</v>
      </c>
      <c r="J18" s="9" t="str">
        <f t="shared" si="4"/>
        <v>CN</v>
      </c>
      <c r="K18" s="9" t="str">
        <f t="shared" si="5"/>
        <v>AUG</v>
      </c>
    </row>
    <row r="19" ht="12.75" customHeight="1">
      <c r="A19" s="9" t="s">
        <v>56</v>
      </c>
      <c r="B19" s="9" t="s">
        <v>7</v>
      </c>
      <c r="C19" s="9" t="s">
        <v>57</v>
      </c>
      <c r="D19" s="9">
        <v>980.0</v>
      </c>
      <c r="E19" s="10">
        <v>10.0</v>
      </c>
      <c r="F19" s="9" t="s">
        <v>9</v>
      </c>
      <c r="G19" s="9">
        <f t="shared" si="1"/>
        <v>9800</v>
      </c>
      <c r="H19" s="9" t="str">
        <f t="shared" si="2"/>
        <v>High Price</v>
      </c>
      <c r="I19" s="9" t="str">
        <f t="shared" si="3"/>
        <v>27</v>
      </c>
      <c r="J19" s="9" t="str">
        <f t="shared" si="4"/>
        <v>IT</v>
      </c>
      <c r="K19" s="9" t="str">
        <f t="shared" si="5"/>
        <v>JAN</v>
      </c>
    </row>
    <row r="20" ht="12.75" customHeight="1">
      <c r="A20" s="7" t="s">
        <v>58</v>
      </c>
      <c r="B20" s="7" t="s">
        <v>59</v>
      </c>
      <c r="C20" s="7" t="s">
        <v>60</v>
      </c>
      <c r="D20" s="7">
        <v>150.0</v>
      </c>
      <c r="E20" s="8">
        <v>15.0</v>
      </c>
      <c r="F20" s="7" t="s">
        <v>13</v>
      </c>
      <c r="G20" s="9">
        <f t="shared" si="1"/>
        <v>2250</v>
      </c>
      <c r="H20" s="9" t="str">
        <f t="shared" si="2"/>
        <v>Standard Price</v>
      </c>
      <c r="I20" s="9" t="str">
        <f t="shared" si="3"/>
        <v>01</v>
      </c>
      <c r="J20" s="9" t="str">
        <f t="shared" si="4"/>
        <v>UK</v>
      </c>
      <c r="K20" s="9" t="str">
        <f t="shared" si="5"/>
        <v>MAR</v>
      </c>
    </row>
    <row r="21" ht="12.75" customHeight="1">
      <c r="A21" s="9" t="s">
        <v>61</v>
      </c>
      <c r="B21" s="9" t="s">
        <v>62</v>
      </c>
      <c r="C21" s="9" t="s">
        <v>63</v>
      </c>
      <c r="D21" s="9">
        <v>200.0</v>
      </c>
      <c r="E21" s="10">
        <v>10.0</v>
      </c>
      <c r="F21" s="9" t="s">
        <v>24</v>
      </c>
      <c r="G21" s="9">
        <f t="shared" si="1"/>
        <v>2000</v>
      </c>
      <c r="H21" s="9" t="str">
        <f t="shared" si="2"/>
        <v>Standard Price</v>
      </c>
      <c r="I21" s="9" t="str">
        <f t="shared" si="3"/>
        <v>14</v>
      </c>
      <c r="J21" s="9" t="str">
        <f t="shared" si="4"/>
        <v>US</v>
      </c>
      <c r="K21" s="9" t="str">
        <f t="shared" si="5"/>
        <v>AUG</v>
      </c>
    </row>
    <row r="22" ht="12.75" customHeight="1">
      <c r="A22" s="7" t="s">
        <v>64</v>
      </c>
      <c r="B22" s="7" t="s">
        <v>65</v>
      </c>
      <c r="C22" s="7" t="s">
        <v>66</v>
      </c>
      <c r="D22" s="7">
        <v>700.0</v>
      </c>
      <c r="E22" s="8">
        <v>50.0</v>
      </c>
      <c r="F22" s="7" t="s">
        <v>9</v>
      </c>
      <c r="G22" s="9">
        <f t="shared" si="1"/>
        <v>35000</v>
      </c>
      <c r="H22" s="9" t="str">
        <f t="shared" si="2"/>
        <v>High Price</v>
      </c>
      <c r="I22" s="9" t="str">
        <f t="shared" si="3"/>
        <v>14</v>
      </c>
      <c r="J22" s="9" t="str">
        <f t="shared" si="4"/>
        <v>RU</v>
      </c>
      <c r="K22" s="9" t="str">
        <f t="shared" si="5"/>
        <v>MAY</v>
      </c>
    </row>
    <row r="23" ht="12.75" customHeight="1">
      <c r="A23" s="9" t="s">
        <v>67</v>
      </c>
      <c r="B23" s="9" t="s">
        <v>68</v>
      </c>
      <c r="C23" s="9" t="s">
        <v>69</v>
      </c>
      <c r="D23" s="9">
        <v>80.0</v>
      </c>
      <c r="E23" s="10">
        <v>20.0</v>
      </c>
      <c r="F23" s="9" t="s">
        <v>17</v>
      </c>
      <c r="G23" s="9">
        <f t="shared" si="1"/>
        <v>1600</v>
      </c>
      <c r="H23" s="9" t="str">
        <f t="shared" si="2"/>
        <v>Standard Price</v>
      </c>
      <c r="I23" s="9" t="str">
        <f t="shared" si="3"/>
        <v>09</v>
      </c>
      <c r="J23" s="9" t="str">
        <f t="shared" si="4"/>
        <v>CA</v>
      </c>
      <c r="K23" s="9" t="str">
        <f t="shared" si="5"/>
        <v>JAN</v>
      </c>
    </row>
    <row r="24" ht="12.75" customHeight="1">
      <c r="A24" s="7" t="s">
        <v>70</v>
      </c>
      <c r="B24" s="7" t="s">
        <v>71</v>
      </c>
      <c r="C24" s="7" t="s">
        <v>72</v>
      </c>
      <c r="D24" s="7">
        <v>150.0</v>
      </c>
      <c r="E24" s="8">
        <v>30.0</v>
      </c>
      <c r="F24" s="7" t="s">
        <v>9</v>
      </c>
      <c r="G24" s="9">
        <f t="shared" si="1"/>
        <v>4500</v>
      </c>
      <c r="H24" s="9" t="str">
        <f t="shared" si="2"/>
        <v>Standard Price</v>
      </c>
      <c r="I24" s="9" t="str">
        <f t="shared" si="3"/>
        <v>19</v>
      </c>
      <c r="J24" s="9" t="str">
        <f t="shared" si="4"/>
        <v>BR</v>
      </c>
      <c r="K24" s="9" t="str">
        <f t="shared" si="5"/>
        <v>JUL</v>
      </c>
    </row>
    <row r="25" ht="12.75" customHeight="1">
      <c r="A25" s="9" t="s">
        <v>50</v>
      </c>
      <c r="B25" s="9" t="s">
        <v>51</v>
      </c>
      <c r="C25" s="9" t="s">
        <v>52</v>
      </c>
      <c r="D25" s="9">
        <v>50.0</v>
      </c>
      <c r="E25" s="10">
        <v>35.0</v>
      </c>
      <c r="F25" s="9" t="s">
        <v>53</v>
      </c>
      <c r="G25" s="9">
        <f t="shared" si="1"/>
        <v>1750</v>
      </c>
      <c r="H25" s="9" t="str">
        <f t="shared" si="2"/>
        <v>Standard Price</v>
      </c>
      <c r="I25" s="9" t="str">
        <f t="shared" si="3"/>
        <v>21</v>
      </c>
      <c r="J25" s="9" t="str">
        <f t="shared" si="4"/>
        <v>CA</v>
      </c>
      <c r="K25" s="9" t="str">
        <f t="shared" si="5"/>
        <v>AUG</v>
      </c>
    </row>
    <row r="26" ht="12.75" customHeight="1">
      <c r="A26" s="7" t="s">
        <v>73</v>
      </c>
      <c r="B26" s="7" t="s">
        <v>19</v>
      </c>
      <c r="C26" s="7" t="s">
        <v>74</v>
      </c>
      <c r="D26" s="7">
        <v>800.0</v>
      </c>
      <c r="E26" s="8">
        <v>45.0</v>
      </c>
      <c r="F26" s="7" t="s">
        <v>9</v>
      </c>
      <c r="G26" s="9">
        <f t="shared" si="1"/>
        <v>36000</v>
      </c>
      <c r="H26" s="9" t="str">
        <f t="shared" si="2"/>
        <v>High Price</v>
      </c>
      <c r="I26" s="9" t="str">
        <f t="shared" si="3"/>
        <v>29</v>
      </c>
      <c r="J26" s="9" t="str">
        <f t="shared" si="4"/>
        <v>CA</v>
      </c>
      <c r="K26" s="9" t="str">
        <f t="shared" si="5"/>
        <v>SEP</v>
      </c>
    </row>
    <row r="27" ht="12.75" customHeight="1">
      <c r="A27" s="9" t="s">
        <v>75</v>
      </c>
      <c r="B27" s="9" t="s">
        <v>59</v>
      </c>
      <c r="C27" s="9" t="s">
        <v>76</v>
      </c>
      <c r="D27" s="9">
        <v>130.0</v>
      </c>
      <c r="E27" s="10">
        <v>25.0</v>
      </c>
      <c r="F27" s="9" t="s">
        <v>13</v>
      </c>
      <c r="G27" s="9">
        <f t="shared" si="1"/>
        <v>3250</v>
      </c>
      <c r="H27" s="9" t="str">
        <f t="shared" si="2"/>
        <v>Standard Price</v>
      </c>
      <c r="I27" s="9" t="str">
        <f t="shared" si="3"/>
        <v>03</v>
      </c>
      <c r="J27" s="9" t="str">
        <f t="shared" si="4"/>
        <v>CA</v>
      </c>
      <c r="K27" s="9" t="str">
        <f t="shared" si="5"/>
        <v>JUN</v>
      </c>
    </row>
    <row r="28" ht="12.75" customHeight="1">
      <c r="A28" s="7" t="s">
        <v>77</v>
      </c>
      <c r="B28" s="7" t="s">
        <v>32</v>
      </c>
      <c r="C28" s="7" t="s">
        <v>78</v>
      </c>
      <c r="D28" s="7">
        <v>400.0</v>
      </c>
      <c r="E28" s="8">
        <v>40.0</v>
      </c>
      <c r="F28" s="7" t="s">
        <v>17</v>
      </c>
      <c r="G28" s="9">
        <f t="shared" si="1"/>
        <v>16000</v>
      </c>
      <c r="H28" s="9" t="str">
        <f t="shared" si="2"/>
        <v>Standard Price</v>
      </c>
      <c r="I28" s="9" t="str">
        <f t="shared" si="3"/>
        <v>11</v>
      </c>
      <c r="J28" s="9" t="str">
        <f t="shared" si="4"/>
        <v>CA</v>
      </c>
      <c r="K28" s="9" t="str">
        <f t="shared" si="5"/>
        <v>JUL</v>
      </c>
    </row>
    <row r="29" ht="12.75" customHeight="1">
      <c r="A29" s="9" t="s">
        <v>48</v>
      </c>
      <c r="B29" s="9" t="s">
        <v>26</v>
      </c>
      <c r="C29" s="9" t="s">
        <v>49</v>
      </c>
      <c r="D29" s="9">
        <v>230.0</v>
      </c>
      <c r="E29" s="10">
        <v>20.0</v>
      </c>
      <c r="F29" s="9" t="s">
        <v>9</v>
      </c>
      <c r="G29" s="9">
        <f t="shared" si="1"/>
        <v>4600</v>
      </c>
      <c r="H29" s="9" t="str">
        <f t="shared" si="2"/>
        <v>Standard Price</v>
      </c>
      <c r="I29" s="9" t="str">
        <f t="shared" si="3"/>
        <v>16</v>
      </c>
      <c r="J29" s="9" t="str">
        <f t="shared" si="4"/>
        <v>ES</v>
      </c>
      <c r="K29" s="9" t="str">
        <f t="shared" si="5"/>
        <v>APR</v>
      </c>
    </row>
    <row r="30" ht="12.75" customHeight="1">
      <c r="A30" s="7" t="s">
        <v>79</v>
      </c>
      <c r="B30" s="7" t="s">
        <v>80</v>
      </c>
      <c r="C30" s="7" t="s">
        <v>81</v>
      </c>
      <c r="D30" s="7">
        <v>60.0</v>
      </c>
      <c r="E30" s="8">
        <v>30.0</v>
      </c>
      <c r="F30" s="7" t="s">
        <v>13</v>
      </c>
      <c r="G30" s="9">
        <f t="shared" si="1"/>
        <v>1800</v>
      </c>
      <c r="H30" s="9" t="str">
        <f t="shared" si="2"/>
        <v>Standard Price</v>
      </c>
      <c r="I30" s="9" t="str">
        <f t="shared" si="3"/>
        <v>07</v>
      </c>
      <c r="J30" s="9" t="str">
        <f t="shared" si="4"/>
        <v>CA</v>
      </c>
      <c r="K30" s="9" t="str">
        <f t="shared" si="5"/>
        <v>MAR</v>
      </c>
    </row>
    <row r="31" ht="12.75" customHeight="1">
      <c r="A31" s="9" t="s">
        <v>82</v>
      </c>
      <c r="B31" s="9" t="s">
        <v>83</v>
      </c>
      <c r="C31" s="9" t="s">
        <v>84</v>
      </c>
      <c r="D31" s="9">
        <v>40.0</v>
      </c>
      <c r="E31" s="10">
        <v>10.0</v>
      </c>
      <c r="F31" s="9" t="s">
        <v>17</v>
      </c>
      <c r="G31" s="9">
        <f t="shared" si="1"/>
        <v>400</v>
      </c>
      <c r="H31" s="9" t="str">
        <f t="shared" si="2"/>
        <v>Standard Price</v>
      </c>
      <c r="I31" s="9" t="str">
        <f t="shared" si="3"/>
        <v>13</v>
      </c>
      <c r="J31" s="9" t="str">
        <f t="shared" si="4"/>
        <v>CA</v>
      </c>
      <c r="K31" s="9" t="str">
        <f t="shared" si="5"/>
        <v>APR</v>
      </c>
    </row>
    <row r="32" ht="12.75" customHeight="1">
      <c r="A32" s="7" t="s">
        <v>85</v>
      </c>
      <c r="B32" s="7" t="s">
        <v>71</v>
      </c>
      <c r="C32" s="7" t="s">
        <v>86</v>
      </c>
      <c r="D32" s="7">
        <v>130.0</v>
      </c>
      <c r="E32" s="8">
        <v>5.0</v>
      </c>
      <c r="F32" s="7" t="s">
        <v>9</v>
      </c>
      <c r="G32" s="9">
        <f t="shared" si="1"/>
        <v>650</v>
      </c>
      <c r="H32" s="9" t="str">
        <f t="shared" si="2"/>
        <v>Standard Price</v>
      </c>
      <c r="I32" s="9" t="str">
        <f t="shared" si="3"/>
        <v>24</v>
      </c>
      <c r="J32" s="9" t="str">
        <f t="shared" si="4"/>
        <v>CA</v>
      </c>
      <c r="K32" s="9" t="str">
        <f t="shared" si="5"/>
        <v>MAY</v>
      </c>
    </row>
    <row r="33" ht="12.75" customHeight="1">
      <c r="A33" s="9" t="s">
        <v>87</v>
      </c>
      <c r="B33" s="9" t="s">
        <v>88</v>
      </c>
      <c r="C33" s="9" t="s">
        <v>89</v>
      </c>
      <c r="D33" s="9">
        <v>50.0</v>
      </c>
      <c r="E33" s="10">
        <v>50.0</v>
      </c>
      <c r="F33" s="9" t="s">
        <v>13</v>
      </c>
      <c r="G33" s="9">
        <f t="shared" si="1"/>
        <v>2500</v>
      </c>
      <c r="H33" s="9" t="str">
        <f t="shared" si="2"/>
        <v>Standard Price</v>
      </c>
      <c r="I33" s="9" t="str">
        <f t="shared" si="3"/>
        <v>02</v>
      </c>
      <c r="J33" s="9" t="str">
        <f t="shared" si="4"/>
        <v>CA</v>
      </c>
      <c r="K33" s="9" t="str">
        <f t="shared" si="5"/>
        <v>DEC</v>
      </c>
    </row>
    <row r="34" ht="12.75" customHeight="1">
      <c r="A34" s="7" t="s">
        <v>40</v>
      </c>
      <c r="B34" s="7" t="s">
        <v>7</v>
      </c>
      <c r="C34" s="7" t="s">
        <v>41</v>
      </c>
      <c r="D34" s="7">
        <v>950.0</v>
      </c>
      <c r="E34" s="8">
        <v>25.0</v>
      </c>
      <c r="F34" s="7" t="s">
        <v>9</v>
      </c>
      <c r="G34" s="9">
        <f t="shared" si="1"/>
        <v>23750</v>
      </c>
      <c r="H34" s="9" t="str">
        <f t="shared" si="2"/>
        <v>High Price</v>
      </c>
      <c r="I34" s="9" t="str">
        <f t="shared" si="3"/>
        <v>17</v>
      </c>
      <c r="J34" s="9" t="str">
        <f t="shared" si="4"/>
        <v>IN</v>
      </c>
      <c r="K34" s="9" t="str">
        <f t="shared" si="5"/>
        <v>JUN</v>
      </c>
    </row>
    <row r="35" ht="12.75" customHeight="1">
      <c r="A35" s="9" t="s">
        <v>90</v>
      </c>
      <c r="B35" s="9" t="s">
        <v>91</v>
      </c>
      <c r="C35" s="9" t="s">
        <v>92</v>
      </c>
      <c r="D35" s="9">
        <v>100.0</v>
      </c>
      <c r="E35" s="10">
        <v>20.0</v>
      </c>
      <c r="F35" s="9" t="s">
        <v>53</v>
      </c>
      <c r="G35" s="9">
        <f t="shared" si="1"/>
        <v>2000</v>
      </c>
      <c r="H35" s="9" t="str">
        <f t="shared" si="2"/>
        <v>Standard Price</v>
      </c>
      <c r="I35" s="9" t="str">
        <f t="shared" si="3"/>
        <v>09</v>
      </c>
      <c r="J35" s="9" t="str">
        <f t="shared" si="4"/>
        <v>FR</v>
      </c>
      <c r="K35" s="9" t="str">
        <f t="shared" si="5"/>
        <v>JUL</v>
      </c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 t="str">
        <f t="shared" si="3"/>
        <v/>
      </c>
      <c r="J36" s="4" t="str">
        <f t="shared" si="4"/>
        <v/>
      </c>
      <c r="K36" s="4" t="str">
        <f t="shared" si="5"/>
        <v/>
      </c>
    </row>
    <row r="37" ht="12.75" customHeight="1"/>
    <row r="38" ht="12.75" customHeight="1">
      <c r="E38" s="11"/>
      <c r="F38" s="12" t="s">
        <v>98</v>
      </c>
      <c r="G38" s="13">
        <f>SUM(G2:G35)</f>
        <v>289700</v>
      </c>
    </row>
    <row r="39" ht="12.75" customHeight="1">
      <c r="F39" s="12"/>
      <c r="G39" s="13"/>
    </row>
    <row r="40" ht="12.75" customHeight="1">
      <c r="F40" s="12" t="s">
        <v>99</v>
      </c>
      <c r="G40" s="14">
        <f>AVERAGE(D2:D35)</f>
        <v>297.0588235</v>
      </c>
    </row>
    <row r="41" ht="12.75" customHeight="1">
      <c r="F41" s="12"/>
      <c r="G41" s="13"/>
    </row>
    <row r="42" ht="12.75" customHeight="1">
      <c r="F42" s="12" t="s">
        <v>100</v>
      </c>
      <c r="G42" s="13" t="s">
        <v>101</v>
      </c>
    </row>
    <row r="43" ht="12.75" customHeight="1">
      <c r="F43" s="12"/>
      <c r="G43" s="13"/>
    </row>
    <row r="44" ht="12.75" customHeight="1">
      <c r="F44" s="12" t="s">
        <v>102</v>
      </c>
      <c r="G44" s="13">
        <f>MIN(D2:D35)</f>
        <v>30</v>
      </c>
    </row>
    <row r="45" ht="12.75" customHeight="1">
      <c r="F45" s="12"/>
      <c r="G45" s="13"/>
    </row>
    <row r="46" ht="12.75" customHeight="1">
      <c r="F46" s="12" t="s">
        <v>103</v>
      </c>
      <c r="G46" s="13">
        <f>MAX(D2:D35)</f>
        <v>1000</v>
      </c>
    </row>
    <row r="47" ht="12.75" customHeight="1">
      <c r="F47" s="12"/>
      <c r="G47" s="13"/>
    </row>
    <row r="48" ht="12.75" customHeight="1">
      <c r="F48" s="12" t="s">
        <v>104</v>
      </c>
      <c r="G48" s="13">
        <f>SUMIF(F2:F35,"Electronics",D2:D35)</f>
        <v>8050</v>
      </c>
    </row>
    <row r="49" ht="12.75" customHeight="1">
      <c r="F49" s="12"/>
      <c r="G49" s="13"/>
    </row>
    <row r="50" ht="12.75" customHeight="1">
      <c r="F50" s="12" t="s">
        <v>105</v>
      </c>
      <c r="G50" s="13">
        <f>COUNTIF(D2:D35,"&lt;100")</f>
        <v>11</v>
      </c>
    </row>
    <row r="51" ht="12.75" customHeight="1"/>
    <row r="52" ht="12.75" customHeight="1">
      <c r="F52" s="15" t="s">
        <v>106</v>
      </c>
      <c r="G52" s="16">
        <f>COUNT(E2:E35)</f>
        <v>34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3" width="8.63"/>
    <col customWidth="1" min="4" max="4" width="123.63"/>
    <col customWidth="1" min="5" max="26" width="8.63"/>
  </cols>
  <sheetData>
    <row r="1" ht="12.75" customHeight="1"/>
    <row r="2" ht="12.75" customHeight="1">
      <c r="A2" s="17" t="s">
        <v>107</v>
      </c>
    </row>
    <row r="3" ht="12.75" customHeight="1">
      <c r="B3" s="15" t="s">
        <v>108</v>
      </c>
      <c r="C3" s="15"/>
      <c r="D3" s="15"/>
      <c r="E3" s="15"/>
    </row>
    <row r="4" ht="12.75" customHeight="1">
      <c r="B4" s="15"/>
      <c r="C4" s="15"/>
      <c r="D4" s="18" t="s">
        <v>109</v>
      </c>
      <c r="E4" s="15"/>
    </row>
    <row r="5" ht="12.75" customHeight="1">
      <c r="B5" s="15"/>
      <c r="C5" s="15"/>
      <c r="D5" s="19"/>
      <c r="E5" s="15"/>
    </row>
    <row r="6" ht="12.75" customHeight="1">
      <c r="B6" s="15"/>
      <c r="C6" s="15" t="s">
        <v>110</v>
      </c>
      <c r="D6" s="15"/>
      <c r="E6" s="15"/>
    </row>
    <row r="7" ht="12.75" customHeight="1">
      <c r="D7" s="11" t="s">
        <v>111</v>
      </c>
    </row>
    <row r="8" ht="12.75" customHeight="1">
      <c r="D8" s="11" t="s">
        <v>112</v>
      </c>
    </row>
    <row r="9" ht="12.75" customHeight="1">
      <c r="D9" s="11" t="s">
        <v>113</v>
      </c>
    </row>
    <row r="10" ht="12.75" customHeight="1">
      <c r="D10" s="11" t="s">
        <v>114</v>
      </c>
    </row>
    <row r="11" ht="12.75" customHeight="1">
      <c r="D11" s="11" t="s">
        <v>115</v>
      </c>
    </row>
    <row r="12" ht="12.75" customHeight="1"/>
    <row r="13" ht="12.75" customHeight="1">
      <c r="D13" s="11" t="s">
        <v>116</v>
      </c>
    </row>
    <row r="14" ht="12.75" customHeight="1">
      <c r="D14" s="11" t="s">
        <v>117</v>
      </c>
    </row>
    <row r="15" ht="12.75" customHeight="1">
      <c r="D15" s="11" t="s">
        <v>118</v>
      </c>
    </row>
    <row r="16" ht="12.75" customHeight="1">
      <c r="D16" s="11" t="s">
        <v>119</v>
      </c>
    </row>
    <row r="17" ht="12.75" customHeight="1">
      <c r="D17" s="11" t="s">
        <v>120</v>
      </c>
    </row>
    <row r="18" ht="12.75" customHeight="1"/>
    <row r="19" ht="12.75" customHeight="1">
      <c r="C19" s="15" t="s">
        <v>121</v>
      </c>
    </row>
    <row r="20" ht="12.75" customHeight="1">
      <c r="D20" s="11" t="s">
        <v>122</v>
      </c>
    </row>
    <row r="21" ht="12.75" customHeight="1"/>
    <row r="22" ht="12.75" customHeight="1">
      <c r="D22" s="11" t="s">
        <v>123</v>
      </c>
    </row>
    <row r="23" ht="12.75" customHeight="1">
      <c r="D23" s="11" t="s">
        <v>124</v>
      </c>
    </row>
    <row r="24" ht="12.75" customHeight="1">
      <c r="D24" s="11" t="s">
        <v>125</v>
      </c>
    </row>
    <row r="25" ht="12.75" customHeight="1">
      <c r="D25" s="11" t="s">
        <v>126</v>
      </c>
    </row>
    <row r="26" ht="12.75" customHeight="1"/>
    <row r="27" ht="12.75" customHeight="1">
      <c r="C27" s="15" t="s">
        <v>127</v>
      </c>
    </row>
    <row r="28" ht="12.75" customHeight="1">
      <c r="D28" s="11" t="s">
        <v>128</v>
      </c>
    </row>
    <row r="29" ht="12.75" customHeight="1">
      <c r="D29" s="11" t="s">
        <v>129</v>
      </c>
    </row>
    <row r="30" ht="12.75" customHeight="1">
      <c r="D30" s="11" t="s">
        <v>130</v>
      </c>
    </row>
    <row r="31" ht="12.75" customHeight="1"/>
    <row r="32" ht="12.75" customHeight="1">
      <c r="C32" s="15" t="s">
        <v>131</v>
      </c>
    </row>
    <row r="33" ht="12.75" customHeight="1">
      <c r="D33" s="11" t="s">
        <v>132</v>
      </c>
    </row>
    <row r="34" ht="12.75" customHeight="1">
      <c r="D34" s="11" t="s">
        <v>133</v>
      </c>
    </row>
    <row r="35" ht="12.75" customHeight="1">
      <c r="D35" s="11" t="s">
        <v>134</v>
      </c>
    </row>
    <row r="36" ht="12.75" customHeight="1">
      <c r="D36" s="11" t="s">
        <v>135</v>
      </c>
    </row>
    <row r="37" ht="12.75" customHeight="1">
      <c r="D37" s="11" t="s">
        <v>136</v>
      </c>
    </row>
    <row r="38" ht="12.75" customHeight="1">
      <c r="D38" s="11" t="s">
        <v>137</v>
      </c>
    </row>
    <row r="39" ht="12.75" customHeight="1"/>
    <row r="40" ht="12.75" customHeight="1">
      <c r="C40" s="15" t="s">
        <v>138</v>
      </c>
    </row>
    <row r="41" ht="12.75" customHeight="1">
      <c r="D41" s="11" t="s">
        <v>139</v>
      </c>
    </row>
    <row r="42" ht="12.75" customHeight="1">
      <c r="D42" s="11" t="s">
        <v>140</v>
      </c>
    </row>
    <row r="43" ht="12.75" customHeight="1">
      <c r="D43" s="11" t="s">
        <v>141</v>
      </c>
    </row>
    <row r="44" ht="12.75" customHeight="1">
      <c r="D44" s="11" t="s">
        <v>142</v>
      </c>
    </row>
    <row r="45" ht="12.75" customHeight="1">
      <c r="D45" s="11" t="s">
        <v>143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