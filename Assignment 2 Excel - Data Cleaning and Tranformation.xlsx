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890" windowHeight="7020" activeTab="2"/>
  </bookViews>
  <sheets>
    <sheet name="Data " sheetId="1" r:id="rId1"/>
    <sheet name="Data Cleaning" sheetId="2" r:id="rId2"/>
    <sheet name="Observation" sheetId="3" r:id="rId3"/>
    <sheet name="Data set" sheetId="4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"/>
  <c r="I32"/>
  <c r="H32"/>
  <c r="G32"/>
  <c r="J31"/>
  <c r="I31"/>
  <c r="H31"/>
  <c r="G31"/>
  <c r="J30"/>
  <c r="I30"/>
  <c r="H30"/>
  <c r="G30"/>
  <c r="J29"/>
  <c r="I29"/>
  <c r="H29"/>
  <c r="G29"/>
  <c r="J28"/>
  <c r="I28"/>
  <c r="H28"/>
  <c r="G28"/>
  <c r="J27"/>
  <c r="I27"/>
  <c r="H27"/>
  <c r="G27"/>
  <c r="J26"/>
  <c r="I26"/>
  <c r="H26"/>
  <c r="G26"/>
  <c r="J25"/>
  <c r="I25"/>
  <c r="H25"/>
  <c r="G25"/>
  <c r="J24"/>
  <c r="I24"/>
  <c r="H24"/>
  <c r="G24"/>
  <c r="J23"/>
  <c r="I23"/>
  <c r="H23"/>
  <c r="G23"/>
  <c r="J22"/>
  <c r="I22"/>
  <c r="H22"/>
  <c r="G22"/>
  <c r="J21"/>
  <c r="I21"/>
  <c r="H21"/>
  <c r="G21"/>
  <c r="J20"/>
  <c r="I20"/>
  <c r="H20"/>
  <c r="G20"/>
  <c r="J19"/>
  <c r="I19"/>
  <c r="H19"/>
  <c r="G19"/>
  <c r="J18"/>
  <c r="I18"/>
  <c r="H18"/>
  <c r="G18"/>
  <c r="J17"/>
  <c r="I17"/>
  <c r="H17"/>
  <c r="G17"/>
  <c r="J16"/>
  <c r="I16"/>
  <c r="H16"/>
  <c r="G16"/>
  <c r="J15"/>
  <c r="I15"/>
  <c r="H15"/>
  <c r="G15"/>
  <c r="J14"/>
  <c r="I14"/>
  <c r="H14"/>
  <c r="G14"/>
  <c r="J13"/>
  <c r="I13"/>
  <c r="H13"/>
  <c r="G13"/>
  <c r="J12"/>
  <c r="I12"/>
  <c r="H12"/>
  <c r="G12"/>
  <c r="J11"/>
  <c r="I11"/>
  <c r="H11"/>
  <c r="G11"/>
  <c r="J10"/>
  <c r="I10"/>
  <c r="H10"/>
  <c r="G10"/>
  <c r="J9"/>
  <c r="I9"/>
  <c r="H9"/>
  <c r="G9"/>
  <c r="J8"/>
  <c r="I8"/>
  <c r="H8"/>
  <c r="G8"/>
  <c r="J7"/>
  <c r="I7"/>
  <c r="H7"/>
  <c r="G7"/>
  <c r="J6"/>
  <c r="I6"/>
  <c r="H6"/>
  <c r="G6"/>
  <c r="J5"/>
  <c r="I5"/>
  <c r="H5"/>
  <c r="G5"/>
  <c r="J4"/>
  <c r="I4"/>
  <c r="H4"/>
  <c r="G4"/>
  <c r="J3"/>
  <c r="I3"/>
  <c r="H3"/>
  <c r="G3"/>
  <c r="J2"/>
  <c r="I2"/>
  <c r="H2"/>
  <c r="G2"/>
  <c r="J2" i="1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</calcChain>
</file>

<file path=xl/sharedStrings.xml><?xml version="1.0" encoding="utf-8"?>
<sst xmlns="http://schemas.openxmlformats.org/spreadsheetml/2006/main" count="429" uniqueCount="116">
  <si>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</si>
  <si>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</si>
  <si>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</si>
  <si>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</si>
  <si>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</si>
  <si>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</si>
  <si>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</si>
  <si>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</si>
  <si>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</si>
  <si>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</si>
  <si>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</si>
  <si>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</si>
  <si>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</si>
  <si>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</si>
  <si>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</si>
  <si>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</si>
  <si>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</si>
  <si>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</si>
  <si>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</si>
  <si>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</si>
  <si>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</si>
  <si>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</si>
  <si>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</si>
  <si>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</si>
  <si>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</si>
  <si>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</si>
  <si>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</si>
  <si>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</si>
  <si>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</si>
  <si>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</si>
  <si>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</si>
  <si>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</si>
  <si>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</si>
  <si>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</si>
  <si>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</si>
  <si>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</si>
  <si>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</si>
  <si>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</si>
  <si>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</si>
  <si>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</si>
  <si>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</si>
  <si>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</si>
  <si>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</si>
  <si>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</si>
  <si>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</si>
  <si>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</si>
  <si>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</si>
  <si>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</si>
  <si>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</si>
  <si>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</si>
  <si>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</si>
  <si>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</si>
  <si>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</si>
  <si>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</si>
  <si>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</si>
  <si>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</si>
  <si>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</si>
  <si>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</si>
  <si>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</si>
  <si>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</si>
  <si>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</si>
  <si>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</si>
  <si>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</si>
  <si>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</si>
  <si>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</si>
  <si>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</si>
  <si>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</si>
  <si>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</si>
  <si>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</si>
  <si>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</si>
  <si>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</si>
  <si>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</si>
  <si>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</si>
  <si>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</si>
  <si>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</si>
  <si>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</si>
  <si>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</si>
  <si>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</si>
  <si>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</si>
  <si>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</si>
  <si>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</si>
  <si>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</si>
  <si>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</si>
  <si>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</si>
  <si>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</si>
  <si>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</si>
  <si>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</si>
  <si>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</si>
  <si>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</si>
  <si>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</si>
  <si>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</si>
  <si>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</si>
  <si>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</si>
  <si>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Price Value</t>
  </si>
  <si>
    <t>Proper Product Name</t>
  </si>
  <si>
    <t>Country Code</t>
  </si>
  <si>
    <t>Product Brand</t>
  </si>
  <si>
    <t>Manufacturing Date</t>
  </si>
  <si>
    <r>
      <t xml:space="preserve">                                                                                               </t>
    </r>
    <r>
      <rPr>
        <sz val="14"/>
        <color rgb="FF000000"/>
        <rFont val="Arial"/>
        <family val="2"/>
        <scheme val="minor"/>
      </rPr>
      <t xml:space="preserve"> Assignment 2</t>
    </r>
  </si>
  <si>
    <t>Data Exploration</t>
  </si>
  <si>
    <t>Observation:</t>
  </si>
  <si>
    <t>Task 1:</t>
  </si>
  <si>
    <t>E13</t>
  </si>
  <si>
    <t>Handling missing values: In the given data set I have checked for the missing values in 'Price" Column.By Using =ISBLANK function in column  G Range from G2:G32.</t>
  </si>
  <si>
    <t>Task 2:</t>
  </si>
  <si>
    <t>In the Product Name Column there is no inconsistent data .I have used Proper funtion =PROPER(B2).</t>
  </si>
  <si>
    <t>Find and Replace function have use to identify there is no misspelling in the categery column.</t>
  </si>
  <si>
    <t>Task 4:</t>
  </si>
  <si>
    <t>Task 3:</t>
  </si>
  <si>
    <t>Removing Duplicates for this in the Data tab go to Data tools in that Remove Duplicates using main input asProduct ID.</t>
  </si>
  <si>
    <t>In the given data I have used Right function because of not supporting of tools tab  I used Right function and splitted the "COUNTRY CODE" Column.</t>
  </si>
  <si>
    <t>And I have used the Concatenate function to merge the data of Product Name and Brand Name  in Column as PRODUCT BRAND.</t>
  </si>
  <si>
    <t>Task 5:</t>
  </si>
  <si>
    <t>Numer formatting in that Manufacturing Date in the column Range from K2: K32</t>
  </si>
  <si>
    <t>Task 6:</t>
  </si>
  <si>
    <t>I have applied colour scales for the Electronics  using Category Column and color scales for Price column in the home tab select conditional formating &gt; 500.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</si>
</sst>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color theme="1"/>
      <name val="Arial"/>
      <family val="2"/>
    </font>
    <font>
      <sz val="14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/>
    <xf numFmtId="0" fontId="4" fillId="0" borderId="1" xfId="0" applyFont="1" applyBorder="1"/>
    <xf numFmtId="0" fontId="4" fillId="3" borderId="1" xfId="0" applyNumberFormat="1" applyFont="1" applyFill="1" applyBorder="1"/>
    <xf numFmtId="0" fontId="4" fillId="3" borderId="1" xfId="0" applyNumberFormat="1" applyFont="1" applyFill="1" applyBorder="1" applyAlignment="1"/>
    <xf numFmtId="0" fontId="4" fillId="3" borderId="1" xfId="0" applyFont="1" applyFill="1" applyBorder="1"/>
    <xf numFmtId="15" fontId="4" fillId="0" borderId="1" xfId="0" applyNumberFormat="1" applyFont="1" applyBorder="1"/>
    <xf numFmtId="15" fontId="4" fillId="3" borderId="1" xfId="0" applyNumberFormat="1" applyFont="1" applyFill="1" applyBorder="1"/>
    <xf numFmtId="0" fontId="5" fillId="0" borderId="0" xfId="0" applyFont="1" applyAlignment="1"/>
    <xf numFmtId="0" fontId="6" fillId="0" borderId="0" xfId="0" applyFont="1" applyAlignment="1"/>
    <xf numFmtId="0" fontId="7" fillId="0" borderId="0" xfId="0" applyNumberFormat="1" applyFont="1" applyFill="1" applyBorder="1" applyAlignment="1" applyProtection="1"/>
    <xf numFmtId="0" fontId="8" fillId="4" borderId="0" xfId="0" applyNumberFormat="1" applyFont="1" applyFill="1" applyBorder="1" applyAlignment="1" applyProtection="1">
      <alignment horizontal="center"/>
    </xf>
    <xf numFmtId="0" fontId="7" fillId="5" borderId="0" xfId="0" applyNumberFormat="1" applyFont="1" applyFill="1" applyBorder="1" applyAlignment="1" applyProtection="1"/>
  </cellXfs>
  <cellStyles count="1">
    <cellStyle name="Normal" xfId="0" builtinId="0"/>
  </cellStyles>
  <dxfs count="5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firstRowStripe" dxfId="50"/>
      <tableStyleElement type="firstColumnStripe" dxfId="49"/>
    </tableStyle>
    <tableStyle name="PivotStylePreset2_Accent1" table="0" count="10">
      <tableStyleElement type="headerRow" dxfId="48"/>
      <tableStyleElement type="totalRow" dxfId="47"/>
      <tableStyleElement type="firstRowStripe" dxfId="46"/>
      <tableStyleElement type="firstColumnStripe" dxfId="45"/>
      <tableStyleElement type="firstSubtotalRow" dxfId="44"/>
      <tableStyleElement type="secondSubtotalRow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K32" totalsRowShown="0" headerRowDxfId="38" dataDxfId="24" headerRowBorderDxfId="36" tableBorderDxfId="37" totalsRowBorderDxfId="35">
  <autoFilter ref="A1:K32">
    <filterColumn colId="6"/>
    <filterColumn colId="7"/>
    <filterColumn colId="8"/>
    <filterColumn colId="9"/>
    <filterColumn colId="10"/>
  </autoFilter>
  <tableColumns count="11">
    <tableColumn id="1" name="Product ID" dataDxfId="34"/>
    <tableColumn id="2" name="Product Name" dataDxfId="33"/>
    <tableColumn id="3" name="E13" dataDxfId="32"/>
    <tableColumn id="4" name="Price ($)" dataDxfId="31"/>
    <tableColumn id="5" name="Quantity" dataDxfId="30"/>
    <tableColumn id="6" name="Category" dataDxfId="29"/>
    <tableColumn id="7" name="Handling Missing Price Value" dataDxfId="28">
      <calculatedColumnFormula>ISBLANK(D2)</calculatedColumnFormula>
    </tableColumn>
    <tableColumn id="8" name="Proper Product Name" dataDxfId="27">
      <calculatedColumnFormula>PROPER(B2)</calculatedColumnFormula>
    </tableColumn>
    <tableColumn id="9" name="Country Code" dataDxfId="26">
      <calculatedColumnFormula>RIGHT(A2,2)</calculatedColumnFormula>
    </tableColumn>
    <tableColumn id="10" name="Product Brand" dataDxfId="25">
      <calculatedColumnFormula>CONCATENATE(C2,"  ",B2)</calculatedColumnFormula>
    </tableColumn>
    <tableColumn id="11" name="Manufacturing Date" dataDxfId="23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K32" totalsRowShown="0" headerRowDxfId="6" dataDxfId="5" headerRowBorderDxfId="3" tableBorderDxfId="4" totalsRowBorderDxfId="2">
  <autoFilter ref="A1:K32"/>
  <tableColumns count="11">
    <tableColumn id="1" name="Product ID" dataDxfId="17"/>
    <tableColumn id="2" name="Product Name" dataDxfId="16"/>
    <tableColumn id="3" name="Brand Name" dataDxfId="15"/>
    <tableColumn id="4" name="Price ($)" dataDxfId="14"/>
    <tableColumn id="5" name="Quantity" dataDxfId="13"/>
    <tableColumn id="6" name="Category" dataDxfId="12"/>
    <tableColumn id="7" name="Handling Missing Price Value" dataDxfId="11">
      <calculatedColumnFormula>ISBLANK(D2)</calculatedColumnFormula>
    </tableColumn>
    <tableColumn id="8" name="Proper Product Name" dataDxfId="10">
      <calculatedColumnFormula>PROPER(B2)</calculatedColumnFormula>
    </tableColumn>
    <tableColumn id="9" name="Country Code" dataDxfId="9">
      <calculatedColumnFormula>RIGHT(A2,2)</calculatedColumnFormula>
    </tableColumn>
    <tableColumn id="10" name="Product Brand" dataDxfId="8">
      <calculatedColumnFormula>CONCATENATE(C2,"  ",B2)</calculatedColumnFormula>
    </tableColumn>
    <tableColumn id="11" name="Manufacturing Date" dataDxfId="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993"/>
  <sheetViews>
    <sheetView topLeftCell="A7" workbookViewId="0">
      <selection activeCell="K7" sqref="K7"/>
    </sheetView>
  </sheetViews>
  <sheetFormatPr defaultColWidth="12.5703125" defaultRowHeight="15" customHeight="1"/>
  <cols>
    <col min="1" max="1" width="18" customWidth="1"/>
    <col min="2" max="2" width="13" customWidth="1"/>
    <col min="3" max="3" width="14.42578125" customWidth="1"/>
    <col min="6" max="6" width="13.42578125" customWidth="1"/>
    <col min="7" max="7" width="24" customWidth="1"/>
    <col min="8" max="8" width="26" customWidth="1"/>
    <col min="10" max="10" width="24.42578125" customWidth="1"/>
    <col min="11" max="11" width="24.5703125" customWidth="1"/>
  </cols>
  <sheetData>
    <row r="1" spans="1:11" ht="15.75" customHeight="1">
      <c r="A1" s="1" t="s">
        <v>0</v>
      </c>
      <c r="B1" s="2" t="s">
        <v>1</v>
      </c>
      <c r="C1" s="4" t="s">
        <v>102</v>
      </c>
      <c r="D1" s="2" t="s">
        <v>3</v>
      </c>
      <c r="E1" s="2" t="s">
        <v>4</v>
      </c>
      <c r="F1" s="3" t="s">
        <v>5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</row>
    <row r="2" spans="1:11" ht="15.75" customHeight="1">
      <c r="A2" s="6" t="s">
        <v>6</v>
      </c>
      <c r="B2" s="6" t="s">
        <v>7</v>
      </c>
      <c r="C2" s="6" t="s">
        <v>8</v>
      </c>
      <c r="D2" s="6">
        <v>1000</v>
      </c>
      <c r="E2" s="6">
        <v>30</v>
      </c>
      <c r="F2" s="6" t="s">
        <v>9</v>
      </c>
      <c r="G2" s="7" t="b">
        <f>ISBLANK(D2)</f>
        <v>0</v>
      </c>
      <c r="H2" s="8" t="str">
        <f>PROPER(B2)</f>
        <v>Laptop</v>
      </c>
      <c r="I2" s="8" t="str">
        <f>RIGHT(A2,2)</f>
        <v>US</v>
      </c>
      <c r="J2" s="8" t="str">
        <f>CONCATENATE(C2,"  ",B2)</f>
        <v>Dell  Laptop</v>
      </c>
      <c r="K2" s="10">
        <v>46050</v>
      </c>
    </row>
    <row r="3" spans="1:11" ht="15.75" customHeight="1">
      <c r="A3" s="9" t="s">
        <v>10</v>
      </c>
      <c r="B3" s="9" t="s">
        <v>11</v>
      </c>
      <c r="C3" s="9" t="s">
        <v>12</v>
      </c>
      <c r="D3" s="9">
        <v>80</v>
      </c>
      <c r="E3" s="9">
        <v>15</v>
      </c>
      <c r="F3" s="9" t="s">
        <v>13</v>
      </c>
      <c r="G3" s="7" t="b">
        <f>ISBLANK(D3)</f>
        <v>0</v>
      </c>
      <c r="H3" s="8" t="str">
        <f>PROPER(B3)</f>
        <v>Sneakers</v>
      </c>
      <c r="I3" s="8" t="str">
        <f>RIGHT(A3,2)</f>
        <v>US</v>
      </c>
      <c r="J3" s="8" t="str">
        <f>CONCATENATE(C3,"  ",B3)</f>
        <v>Nike  Sneakers</v>
      </c>
      <c r="K3" s="11">
        <v>46068</v>
      </c>
    </row>
    <row r="4" spans="1:11" ht="15.75" customHeight="1">
      <c r="A4" s="6" t="s">
        <v>14</v>
      </c>
      <c r="B4" s="6" t="s">
        <v>15</v>
      </c>
      <c r="C4" s="6" t="s">
        <v>16</v>
      </c>
      <c r="D4" s="6">
        <v>130</v>
      </c>
      <c r="E4" s="6">
        <v>40</v>
      </c>
      <c r="F4" s="6" t="s">
        <v>17</v>
      </c>
      <c r="G4" s="7" t="b">
        <f>ISBLANK(D4)</f>
        <v>0</v>
      </c>
      <c r="H4" s="8" t="str">
        <f>PROPER(B4)</f>
        <v>Coffee Maker</v>
      </c>
      <c r="I4" s="8" t="str">
        <f>RIGHT(A4,2)</f>
        <v>US</v>
      </c>
      <c r="J4" s="8" t="str">
        <f>CONCATENATE(C4,"  ",B4)</f>
        <v>Keurig  Coffee Maker</v>
      </c>
      <c r="K4" s="10">
        <v>46084</v>
      </c>
    </row>
    <row r="5" spans="1:11" ht="15.75" customHeight="1">
      <c r="A5" s="9" t="s">
        <v>18</v>
      </c>
      <c r="B5" s="9" t="s">
        <v>19</v>
      </c>
      <c r="C5" s="9" t="s">
        <v>20</v>
      </c>
      <c r="D5" s="9">
        <v>900</v>
      </c>
      <c r="E5" s="9">
        <v>25</v>
      </c>
      <c r="F5" s="9" t="s">
        <v>9</v>
      </c>
      <c r="G5" s="7" t="b">
        <f>ISBLANK(D5)</f>
        <v>0</v>
      </c>
      <c r="H5" s="8" t="str">
        <f>PROPER(B5)</f>
        <v>Smartphone</v>
      </c>
      <c r="I5" s="8" t="str">
        <f>RIGHT(A5,2)</f>
        <v>US</v>
      </c>
      <c r="J5" s="8" t="str">
        <f>CONCATENATE(C5,"  ",B5)</f>
        <v>Samsung  Smartphone</v>
      </c>
      <c r="K5" s="11">
        <v>46123</v>
      </c>
    </row>
    <row r="6" spans="1:11" ht="15.75" customHeight="1">
      <c r="A6" s="6" t="s">
        <v>21</v>
      </c>
      <c r="B6" s="6" t="s">
        <v>22</v>
      </c>
      <c r="C6" s="6" t="s">
        <v>23</v>
      </c>
      <c r="D6" s="6">
        <v>70</v>
      </c>
      <c r="E6" s="6">
        <v>20</v>
      </c>
      <c r="F6" s="6" t="s">
        <v>24</v>
      </c>
      <c r="G6" s="7" t="b">
        <f>ISBLANK(D6)</f>
        <v>0</v>
      </c>
      <c r="H6" s="8" t="str">
        <f>PROPER(B6)</f>
        <v>Backpack</v>
      </c>
      <c r="I6" s="8" t="str">
        <f>RIGHT(A6,2)</f>
        <v>US</v>
      </c>
      <c r="J6" s="8" t="str">
        <f>CONCATENATE(C6,"  ",B6)</f>
        <v>North Face  Backpack</v>
      </c>
      <c r="K6" s="10">
        <v>46164</v>
      </c>
    </row>
    <row r="7" spans="1:11" ht="15.75" customHeight="1">
      <c r="A7" s="9" t="s">
        <v>25</v>
      </c>
      <c r="B7" s="9" t="s">
        <v>26</v>
      </c>
      <c r="C7" s="9" t="s">
        <v>27</v>
      </c>
      <c r="D7" s="9">
        <v>200</v>
      </c>
      <c r="E7" s="9">
        <v>45</v>
      </c>
      <c r="F7" s="9" t="s">
        <v>9</v>
      </c>
      <c r="G7" s="7" t="b">
        <f>ISBLANK(D7)</f>
        <v>0</v>
      </c>
      <c r="H7" s="8" t="str">
        <f>PROPER(B7)</f>
        <v>Headphones</v>
      </c>
      <c r="I7" s="8" t="str">
        <f>RIGHT(A7,2)</f>
        <v>UK</v>
      </c>
      <c r="J7" s="8" t="str">
        <f>CONCATENATE(C7,"  ",B7)</f>
        <v>Sony  Headphones</v>
      </c>
      <c r="K7" s="11">
        <v>46180</v>
      </c>
    </row>
    <row r="8" spans="1:11" ht="15.75" customHeight="1">
      <c r="A8" s="6" t="s">
        <v>28</v>
      </c>
      <c r="B8" s="6" t="s">
        <v>29</v>
      </c>
      <c r="C8" s="6" t="s">
        <v>30</v>
      </c>
      <c r="D8" s="6">
        <v>30</v>
      </c>
      <c r="E8" s="6">
        <v>5</v>
      </c>
      <c r="F8" s="6" t="s">
        <v>13</v>
      </c>
      <c r="G8" s="7" t="b">
        <f>ISBLANK(D8)</f>
        <v>0</v>
      </c>
      <c r="H8" s="8" t="str">
        <f>PROPER(B8)</f>
        <v>T-Shirt</v>
      </c>
      <c r="I8" s="8" t="str">
        <f>RIGHT(A8,2)</f>
        <v>UK</v>
      </c>
      <c r="J8" s="8" t="str">
        <f>CONCATENATE(C8,"  ",B8)</f>
        <v>Adidas  T-shirt</v>
      </c>
      <c r="K8" s="10">
        <v>46222</v>
      </c>
    </row>
    <row r="9" spans="1:11" ht="15.75" customHeight="1">
      <c r="A9" s="9" t="s">
        <v>31</v>
      </c>
      <c r="B9" s="9" t="s">
        <v>32</v>
      </c>
      <c r="C9" s="9" t="s">
        <v>33</v>
      </c>
      <c r="D9" s="9">
        <v>90</v>
      </c>
      <c r="E9" s="9">
        <v>35</v>
      </c>
      <c r="F9" s="9" t="s">
        <v>17</v>
      </c>
      <c r="G9" s="7" t="b">
        <f>ISBLANK(D9)</f>
        <v>0</v>
      </c>
      <c r="H9" s="8" t="str">
        <f>PROPER(B9)</f>
        <v>Blender</v>
      </c>
      <c r="I9" s="8" t="str">
        <f>RIGHT(A9,2)</f>
        <v>UK</v>
      </c>
      <c r="J9" s="8" t="str">
        <f>CONCATENATE(C9,"  ",B9)</f>
        <v>Ninja  Blender</v>
      </c>
      <c r="K9" s="11">
        <v>46257</v>
      </c>
    </row>
    <row r="10" spans="1:11" ht="15.75" customHeight="1">
      <c r="A10" s="6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6" t="s">
        <v>9</v>
      </c>
      <c r="G10" s="7" t="b">
        <f>ISBLANK(D10)</f>
        <v>0</v>
      </c>
      <c r="H10" s="8" t="str">
        <f>PROPER(B10)</f>
        <v>Tablet</v>
      </c>
      <c r="I10" s="8" t="str">
        <f>RIGHT(A10,2)</f>
        <v>UK</v>
      </c>
      <c r="J10" s="8" t="str">
        <f>CONCATENATE(C10,"  ",B10)</f>
        <v>Apple  Tablet</v>
      </c>
      <c r="K10" s="10">
        <v>46270</v>
      </c>
    </row>
    <row r="11" spans="1:11" ht="15.75" customHeight="1">
      <c r="A11" s="9" t="s">
        <v>37</v>
      </c>
      <c r="B11" s="9" t="s">
        <v>38</v>
      </c>
      <c r="C11" s="9" t="s">
        <v>39</v>
      </c>
      <c r="D11" s="9">
        <v>130</v>
      </c>
      <c r="E11" s="9">
        <v>10</v>
      </c>
      <c r="F11" s="9" t="s">
        <v>24</v>
      </c>
      <c r="G11" s="7" t="b">
        <f>ISBLANK(D11)</f>
        <v>0</v>
      </c>
      <c r="H11" s="8" t="str">
        <f>PROPER(B11)</f>
        <v>Hiking Boots</v>
      </c>
      <c r="I11" s="8" t="str">
        <f>RIGHT(A11,2)</f>
        <v>UK</v>
      </c>
      <c r="J11" s="8" t="str">
        <f>CONCATENATE(C11,"  ",B11)</f>
        <v>Timberland  Hiking Boots</v>
      </c>
      <c r="K11" s="11">
        <v>46309</v>
      </c>
    </row>
    <row r="12" spans="1:11" ht="15.75" customHeight="1">
      <c r="A12" s="6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6" t="s">
        <v>9</v>
      </c>
      <c r="G12" s="7" t="b">
        <f>ISBLANK(D12)</f>
        <v>0</v>
      </c>
      <c r="H12" s="8" t="str">
        <f>PROPER(B12)</f>
        <v>Laptop</v>
      </c>
      <c r="I12" s="8" t="str">
        <f>RIGHT(A12,2)</f>
        <v>IN</v>
      </c>
      <c r="J12" s="8" t="str">
        <f>CONCATENATE(C12,"  ",B12)</f>
        <v>HP  Laptop</v>
      </c>
      <c r="K12" s="10">
        <v>46190</v>
      </c>
    </row>
    <row r="13" spans="1:11" ht="15.75" customHeight="1">
      <c r="A13" s="9" t="s">
        <v>42</v>
      </c>
      <c r="B13" s="9" t="s">
        <v>11</v>
      </c>
      <c r="C13" s="9" t="s">
        <v>30</v>
      </c>
      <c r="D13" s="9">
        <v>90</v>
      </c>
      <c r="E13" s="9">
        <v>40</v>
      </c>
      <c r="F13" s="9" t="s">
        <v>13</v>
      </c>
      <c r="G13" s="7" t="b">
        <f>ISBLANK(D13)</f>
        <v>0</v>
      </c>
      <c r="H13" s="8" t="str">
        <f>PROPER(B13)</f>
        <v>Sneakers</v>
      </c>
      <c r="I13" s="8" t="str">
        <f>RIGHT(A13,2)</f>
        <v>AU</v>
      </c>
      <c r="J13" s="8" t="str">
        <f>CONCATENATE(C13,"  ",B13)</f>
        <v>Adidas  Sneakers</v>
      </c>
      <c r="K13" s="11">
        <v>46351</v>
      </c>
    </row>
    <row r="14" spans="1:11" ht="15.75" customHeight="1">
      <c r="A14" s="6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6" t="s">
        <v>17</v>
      </c>
      <c r="G14" s="7" t="b">
        <f>ISBLANK(D14)</f>
        <v>0</v>
      </c>
      <c r="H14" s="8" t="str">
        <f>PROPER(B14)</f>
        <v>Coffee Maker</v>
      </c>
      <c r="I14" s="8" t="str">
        <f>RIGHT(A14,2)</f>
        <v>DE</v>
      </c>
      <c r="J14" s="8" t="str">
        <f>CONCATENATE(C14,"  ",B14)</f>
        <v>Nespresso  Coffee Maker</v>
      </c>
      <c r="K14" s="10">
        <v>46364</v>
      </c>
    </row>
    <row r="15" spans="1:11" ht="15.75" customHeight="1">
      <c r="A15" s="9" t="s">
        <v>45</v>
      </c>
      <c r="B15" s="9" t="s">
        <v>46</v>
      </c>
      <c r="C15" s="9" t="s">
        <v>47</v>
      </c>
      <c r="D15" s="9">
        <v>150</v>
      </c>
      <c r="E15" s="9">
        <v>15</v>
      </c>
      <c r="F15" s="9" t="s">
        <v>9</v>
      </c>
      <c r="G15" s="7" t="b">
        <f>ISBLANK(D15)</f>
        <v>0</v>
      </c>
      <c r="H15" s="8" t="str">
        <f>PROPER(B15)</f>
        <v>Smartwatch</v>
      </c>
      <c r="I15" s="8" t="str">
        <f>RIGHT(A15,2)</f>
        <v>CA</v>
      </c>
      <c r="J15" s="8" t="str">
        <f>CONCATENATE(C15,"  ",B15)</f>
        <v>Fitbit  Smartwatch</v>
      </c>
      <c r="K15" s="11">
        <v>46071</v>
      </c>
    </row>
    <row r="16" spans="1:11" ht="15.75" customHeight="1">
      <c r="A16" s="6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6" t="s">
        <v>9</v>
      </c>
      <c r="G16" s="7" t="b">
        <f>ISBLANK(D16)</f>
        <v>0</v>
      </c>
      <c r="H16" s="8" t="str">
        <f>PROPER(B16)</f>
        <v>Headphones</v>
      </c>
      <c r="I16" s="8" t="str">
        <f>RIGHT(A16,2)</f>
        <v>ES</v>
      </c>
      <c r="J16" s="8" t="str">
        <f>CONCATENATE(C16,"  ",B16)</f>
        <v>Bose  Headphones</v>
      </c>
      <c r="K16" s="10">
        <v>46128</v>
      </c>
    </row>
    <row r="17" spans="1:11" ht="15.75" customHeight="1">
      <c r="A17" s="9" t="s">
        <v>50</v>
      </c>
      <c r="B17" s="9" t="s">
        <v>51</v>
      </c>
      <c r="C17" s="9" t="s">
        <v>52</v>
      </c>
      <c r="D17" s="9">
        <v>50</v>
      </c>
      <c r="E17" s="9">
        <v>35</v>
      </c>
      <c r="F17" s="9" t="s">
        <v>53</v>
      </c>
      <c r="G17" s="7" t="b">
        <f>ISBLANK(D17)</f>
        <v>0</v>
      </c>
      <c r="H17" s="8" t="str">
        <f>PROPER(B17)</f>
        <v>Laptop Bag</v>
      </c>
      <c r="I17" s="8" t="str">
        <f>RIGHT(A17,2)</f>
        <v>CA</v>
      </c>
      <c r="J17" s="8" t="str">
        <f>CONCATENATE(C17,"  ",B17)</f>
        <v>Samsonite  Laptop Bag</v>
      </c>
      <c r="K17" s="11">
        <v>46255</v>
      </c>
    </row>
    <row r="18" spans="1:11" ht="15.75" customHeight="1">
      <c r="A18" s="6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6" t="s">
        <v>9</v>
      </c>
      <c r="G18" s="7" t="b">
        <f>ISBLANK(D18)</f>
        <v>0</v>
      </c>
      <c r="H18" s="8" t="str">
        <f>PROPER(B18)</f>
        <v>Smartwatch</v>
      </c>
      <c r="I18" s="8" t="str">
        <f>RIGHT(A18,2)</f>
        <v>CN</v>
      </c>
      <c r="J18" s="8" t="str">
        <f>CONCATENATE(C18,"  ",B18)</f>
        <v>Huawei  Smartwatch</v>
      </c>
      <c r="K18" s="10">
        <v>46254</v>
      </c>
    </row>
    <row r="19" spans="1:11" ht="15.75" customHeight="1">
      <c r="A19" s="9" t="s">
        <v>56</v>
      </c>
      <c r="B19" s="9" t="s">
        <v>7</v>
      </c>
      <c r="C19" s="9" t="s">
        <v>57</v>
      </c>
      <c r="D19" s="9">
        <v>980</v>
      </c>
      <c r="E19" s="9">
        <v>10</v>
      </c>
      <c r="F19" s="9" t="s">
        <v>9</v>
      </c>
      <c r="G19" s="7" t="b">
        <f>ISBLANK(D19)</f>
        <v>0</v>
      </c>
      <c r="H19" s="8" t="str">
        <f>PROPER(B19)</f>
        <v>Laptop</v>
      </c>
      <c r="I19" s="8" t="str">
        <f>RIGHT(A19,2)</f>
        <v>IT</v>
      </c>
      <c r="J19" s="8" t="str">
        <f>CONCATENATE(C19,"  ",B19)</f>
        <v>Asus  Laptop</v>
      </c>
      <c r="K19" s="11">
        <v>46049</v>
      </c>
    </row>
    <row r="20" spans="1:11" ht="15.75" customHeight="1">
      <c r="A20" s="6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6" t="s">
        <v>13</v>
      </c>
      <c r="G20" s="7" t="b">
        <f>ISBLANK(D20)</f>
        <v>0</v>
      </c>
      <c r="H20" s="8" t="str">
        <f>PROPER(B20)</f>
        <v>Sunglasses</v>
      </c>
      <c r="I20" s="8" t="str">
        <f>RIGHT(A20,2)</f>
        <v>UK</v>
      </c>
      <c r="J20" s="8" t="str">
        <f>CONCATENATE(C20,"  ",B20)</f>
        <v>Oakley  Sunglasses</v>
      </c>
      <c r="K20" s="10">
        <v>46082</v>
      </c>
    </row>
    <row r="21" spans="1:11" ht="15.75" customHeight="1">
      <c r="A21" s="9" t="s">
        <v>61</v>
      </c>
      <c r="B21" s="9" t="s">
        <v>62</v>
      </c>
      <c r="C21" s="9" t="s">
        <v>63</v>
      </c>
      <c r="D21" s="9">
        <v>200</v>
      </c>
      <c r="E21" s="9">
        <v>10</v>
      </c>
      <c r="F21" s="9" t="s">
        <v>24</v>
      </c>
      <c r="G21" s="7" t="b">
        <f>ISBLANK(D21)</f>
        <v>0</v>
      </c>
      <c r="H21" s="8" t="str">
        <f>PROPER(B21)</f>
        <v>Camping Tent</v>
      </c>
      <c r="I21" s="8" t="str">
        <f>RIGHT(A21,2)</f>
        <v>US</v>
      </c>
      <c r="J21" s="8" t="str">
        <f>CONCATENATE(C21,"  ",B21)</f>
        <v>Coleman  Camping Tent</v>
      </c>
      <c r="K21" s="11">
        <v>46248</v>
      </c>
    </row>
    <row r="22" spans="1:11" ht="15.75" customHeight="1">
      <c r="A22" s="6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6" t="s">
        <v>9</v>
      </c>
      <c r="G22" s="7" t="b">
        <f>ISBLANK(D22)</f>
        <v>0</v>
      </c>
      <c r="H22" s="8" t="str">
        <f>PROPER(B22)</f>
        <v>Camera</v>
      </c>
      <c r="I22" s="8" t="str">
        <f>RIGHT(A22,2)</f>
        <v>RU</v>
      </c>
      <c r="J22" s="8" t="str">
        <f>CONCATENATE(C22,"  ",B22)</f>
        <v>Nikon  Camera</v>
      </c>
      <c r="K22" s="10">
        <v>46156</v>
      </c>
    </row>
    <row r="23" spans="1:11" ht="15.75" customHeight="1">
      <c r="A23" s="9" t="s">
        <v>67</v>
      </c>
      <c r="B23" s="9" t="s">
        <v>68</v>
      </c>
      <c r="C23" s="9" t="s">
        <v>69</v>
      </c>
      <c r="D23" s="9">
        <v>80</v>
      </c>
      <c r="E23" s="9">
        <v>20</v>
      </c>
      <c r="F23" s="9" t="s">
        <v>17</v>
      </c>
      <c r="G23" s="7" t="b">
        <f>ISBLANK(D23)</f>
        <v>0</v>
      </c>
      <c r="H23" s="8" t="str">
        <f>PROPER(B23)</f>
        <v>Microwave</v>
      </c>
      <c r="I23" s="8" t="str">
        <f>RIGHT(A23,2)</f>
        <v>CA</v>
      </c>
      <c r="J23" s="8" t="str">
        <f>CONCATENATE(C23,"  ",B23)</f>
        <v>Panasonic  Microwave</v>
      </c>
      <c r="K23" s="11">
        <v>46031</v>
      </c>
    </row>
    <row r="24" spans="1:11" ht="15.75" customHeight="1">
      <c r="A24" s="6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6" t="s">
        <v>9</v>
      </c>
      <c r="G24" s="7" t="b">
        <f>ISBLANK(D24)</f>
        <v>0</v>
      </c>
      <c r="H24" s="8" t="str">
        <f>PROPER(B24)</f>
        <v>Fitness Tracker</v>
      </c>
      <c r="I24" s="8" t="str">
        <f>RIGHT(A24,2)</f>
        <v>BR</v>
      </c>
      <c r="J24" s="8" t="str">
        <f>CONCATENATE(C24,"  ",B24)</f>
        <v>Xiaomi  Fitness Tracker</v>
      </c>
      <c r="K24" s="10">
        <v>46222</v>
      </c>
    </row>
    <row r="25" spans="1:11" ht="15.75" customHeight="1">
      <c r="A25" s="6" t="s">
        <v>73</v>
      </c>
      <c r="B25" s="6" t="s">
        <v>19</v>
      </c>
      <c r="C25" s="6" t="s">
        <v>74</v>
      </c>
      <c r="D25" s="6">
        <v>800</v>
      </c>
      <c r="E25" s="6">
        <v>45</v>
      </c>
      <c r="F25" s="6" t="s">
        <v>9</v>
      </c>
      <c r="G25" s="7" t="b">
        <f>ISBLANK(D25)</f>
        <v>0</v>
      </c>
      <c r="H25" s="8" t="str">
        <f>PROPER(B25)</f>
        <v>Smartphone</v>
      </c>
      <c r="I25" s="8" t="str">
        <f>RIGHT(A25,2)</f>
        <v>CA</v>
      </c>
      <c r="J25" s="8" t="str">
        <f>CONCATENATE(C25,"  ",B25)</f>
        <v>Google  Smartphone</v>
      </c>
      <c r="K25" s="10">
        <v>46294</v>
      </c>
    </row>
    <row r="26" spans="1:11" ht="15.75" customHeight="1">
      <c r="A26" s="9" t="s">
        <v>75</v>
      </c>
      <c r="B26" s="9" t="s">
        <v>59</v>
      </c>
      <c r="C26" s="9" t="s">
        <v>76</v>
      </c>
      <c r="D26" s="9">
        <v>130</v>
      </c>
      <c r="E26" s="9">
        <v>25</v>
      </c>
      <c r="F26" s="9" t="s">
        <v>13</v>
      </c>
      <c r="G26" s="7" t="b">
        <f>ISBLANK(D26)</f>
        <v>0</v>
      </c>
      <c r="H26" s="8" t="str">
        <f>PROPER(B26)</f>
        <v>Sunglasses</v>
      </c>
      <c r="I26" s="8" t="str">
        <f>RIGHT(A26,2)</f>
        <v>CA</v>
      </c>
      <c r="J26" s="8" t="str">
        <f>CONCATENATE(C26,"  ",B26)</f>
        <v>Ray-Ban  Sunglasses</v>
      </c>
      <c r="K26" s="11">
        <v>46176</v>
      </c>
    </row>
    <row r="27" spans="1:11" ht="15.75" customHeight="1">
      <c r="A27" s="6" t="s">
        <v>77</v>
      </c>
      <c r="B27" s="6" t="s">
        <v>32</v>
      </c>
      <c r="C27" s="6" t="s">
        <v>78</v>
      </c>
      <c r="D27" s="6">
        <v>400</v>
      </c>
      <c r="E27" s="6">
        <v>40</v>
      </c>
      <c r="F27" s="6" t="s">
        <v>17</v>
      </c>
      <c r="G27" s="7" t="b">
        <f>ISBLANK(D27)</f>
        <v>0</v>
      </c>
      <c r="H27" s="8" t="str">
        <f>PROPER(B27)</f>
        <v>Blender</v>
      </c>
      <c r="I27" s="8" t="str">
        <f>RIGHT(A27,2)</f>
        <v>CA</v>
      </c>
      <c r="J27" s="8" t="str">
        <f>CONCATENATE(C27,"  ",B27)</f>
        <v>Vitamix  Blender</v>
      </c>
      <c r="K27" s="10">
        <v>46214</v>
      </c>
    </row>
    <row r="28" spans="1:11" ht="15.75" customHeight="1">
      <c r="A28" s="6" t="s">
        <v>79</v>
      </c>
      <c r="B28" s="6" t="s">
        <v>80</v>
      </c>
      <c r="C28" s="6" t="s">
        <v>81</v>
      </c>
      <c r="D28" s="6">
        <v>60</v>
      </c>
      <c r="E28" s="6">
        <v>30</v>
      </c>
      <c r="F28" s="6" t="s">
        <v>13</v>
      </c>
      <c r="G28" s="7" t="b">
        <f>ISBLANK(D28)</f>
        <v>0</v>
      </c>
      <c r="H28" s="8" t="str">
        <f>PROPER(B28)</f>
        <v>Dress</v>
      </c>
      <c r="I28" s="8" t="str">
        <f>RIGHT(A28,2)</f>
        <v>CA</v>
      </c>
      <c r="J28" s="8" t="str">
        <f>CONCATENATE(C28,"  ",B28)</f>
        <v>Zara  Dress</v>
      </c>
      <c r="K28" s="10">
        <v>46088</v>
      </c>
    </row>
    <row r="29" spans="1:11" ht="15.75" customHeight="1">
      <c r="A29" s="9" t="s">
        <v>82</v>
      </c>
      <c r="B29" s="9" t="s">
        <v>83</v>
      </c>
      <c r="C29" s="9" t="s">
        <v>84</v>
      </c>
      <c r="D29" s="9">
        <v>40</v>
      </c>
      <c r="E29" s="9">
        <v>10</v>
      </c>
      <c r="F29" s="9" t="s">
        <v>17</v>
      </c>
      <c r="G29" s="7" t="b">
        <f>ISBLANK(D29)</f>
        <v>0</v>
      </c>
      <c r="H29" s="8" t="str">
        <f>PROPER(B29)</f>
        <v>Toaster</v>
      </c>
      <c r="I29" s="8" t="str">
        <f>RIGHT(A29,2)</f>
        <v>CA</v>
      </c>
      <c r="J29" s="8" t="str">
        <f>CONCATENATE(C29,"  ",B29)</f>
        <v>Hamilton  Toaster</v>
      </c>
      <c r="K29" s="11">
        <v>46125</v>
      </c>
    </row>
    <row r="30" spans="1:11" ht="15.75" customHeight="1">
      <c r="A30" s="6" t="s">
        <v>85</v>
      </c>
      <c r="B30" s="6" t="s">
        <v>71</v>
      </c>
      <c r="C30" s="6" t="s">
        <v>86</v>
      </c>
      <c r="D30" s="6">
        <v>130</v>
      </c>
      <c r="E30" s="6">
        <v>5</v>
      </c>
      <c r="F30" s="6" t="s">
        <v>9</v>
      </c>
      <c r="G30" s="7" t="b">
        <f>ISBLANK(D30)</f>
        <v>0</v>
      </c>
      <c r="H30" s="8" t="str">
        <f>PROPER(B30)</f>
        <v>Fitness Tracker</v>
      </c>
      <c r="I30" s="8" t="str">
        <f>RIGHT(A30,2)</f>
        <v>CA</v>
      </c>
      <c r="J30" s="8" t="str">
        <f>CONCATENATE(C30,"  ",B30)</f>
        <v>Garmin  Fitness Tracker</v>
      </c>
      <c r="K30" s="10">
        <v>46166</v>
      </c>
    </row>
    <row r="31" spans="1:11" ht="15.75" customHeight="1">
      <c r="A31" s="9" t="s">
        <v>87</v>
      </c>
      <c r="B31" s="9" t="s">
        <v>88</v>
      </c>
      <c r="C31" s="9" t="s">
        <v>89</v>
      </c>
      <c r="D31" s="9">
        <v>50</v>
      </c>
      <c r="E31" s="9">
        <v>50</v>
      </c>
      <c r="F31" s="9" t="s">
        <v>13</v>
      </c>
      <c r="G31" s="7" t="b">
        <f>ISBLANK(D31)</f>
        <v>0</v>
      </c>
      <c r="H31" s="8" t="str">
        <f>PROPER(B31)</f>
        <v>Jeans</v>
      </c>
      <c r="I31" s="8" t="str">
        <f>RIGHT(A31,2)</f>
        <v>CA</v>
      </c>
      <c r="J31" s="8" t="str">
        <f>CONCATENATE(C31,"  ",B31)</f>
        <v>Levi's  Jeans</v>
      </c>
      <c r="K31" s="11">
        <v>46358</v>
      </c>
    </row>
    <row r="32" spans="1:11" ht="15.75" customHeight="1">
      <c r="A32" s="9" t="s">
        <v>90</v>
      </c>
      <c r="B32" s="9" t="s">
        <v>91</v>
      </c>
      <c r="C32" s="9" t="s">
        <v>92</v>
      </c>
      <c r="D32" s="9">
        <v>100</v>
      </c>
      <c r="E32" s="9">
        <v>20</v>
      </c>
      <c r="F32" s="9" t="s">
        <v>53</v>
      </c>
      <c r="G32" s="7" t="b">
        <f>ISBLANK(D32)</f>
        <v>0</v>
      </c>
      <c r="H32" s="8" t="str">
        <f>PROPER(B32)</f>
        <v>Watch</v>
      </c>
      <c r="I32" s="8" t="str">
        <f>RIGHT(A32,2)</f>
        <v>FR</v>
      </c>
      <c r="J32" s="8" t="str">
        <f>CONCATENATE(C32,"  ",B32)</f>
        <v>Casio  Watch</v>
      </c>
      <c r="K32" s="11">
        <v>46212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conditionalFormatting sqref="D2:D32">
    <cfRule type="cellIs" dxfId="22" priority="2" operator="greaterThan">
      <formula>500</formula>
    </cfRule>
  </conditionalFormatting>
  <conditionalFormatting sqref="F2:F32">
    <cfRule type="containsText" dxfId="20" priority="1" operator="containsText" text="Electronics">
      <formula>NOT(ISERROR(SEARCH("Electronics",F2)))</formula>
    </cfRule>
  </conditionalFormatting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selection activeCell="G2" sqref="G2"/>
    </sheetView>
  </sheetViews>
  <sheetFormatPr defaultColWidth="9.140625" defaultRowHeight="12.7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</row>
    <row r="2" spans="1:11">
      <c r="A2" s="6" t="s">
        <v>6</v>
      </c>
      <c r="B2" s="6" t="s">
        <v>7</v>
      </c>
      <c r="C2" s="6" t="s">
        <v>8</v>
      </c>
      <c r="D2" s="6">
        <v>1000</v>
      </c>
      <c r="E2" s="6">
        <v>30</v>
      </c>
      <c r="F2" s="6" t="s">
        <v>9</v>
      </c>
      <c r="G2" s="7" t="b">
        <f>ISBLANK(D2)</f>
        <v>0</v>
      </c>
      <c r="H2" s="8" t="str">
        <f>PROPER(B2)</f>
        <v>Laptop</v>
      </c>
      <c r="I2" s="8" t="str">
        <f>RIGHT(A2,2)</f>
        <v>US</v>
      </c>
      <c r="J2" s="8" t="str">
        <f>CONCATENATE(C2,"  ",B2)</f>
        <v>Dell  Laptop</v>
      </c>
      <c r="K2" s="10">
        <v>46050</v>
      </c>
    </row>
    <row r="3" spans="1:11">
      <c r="A3" s="9" t="s">
        <v>10</v>
      </c>
      <c r="B3" s="9" t="s">
        <v>11</v>
      </c>
      <c r="C3" s="9" t="s">
        <v>12</v>
      </c>
      <c r="D3" s="9">
        <v>80</v>
      </c>
      <c r="E3" s="9">
        <v>15</v>
      </c>
      <c r="F3" s="9" t="s">
        <v>13</v>
      </c>
      <c r="G3" s="7" t="b">
        <f>ISBLANK(D3)</f>
        <v>0</v>
      </c>
      <c r="H3" s="8" t="str">
        <f>PROPER(B3)</f>
        <v>Sneakers</v>
      </c>
      <c r="I3" s="8" t="str">
        <f>RIGHT(A3,2)</f>
        <v>US</v>
      </c>
      <c r="J3" s="8" t="str">
        <f>CONCATENATE(C3,"  ",B3)</f>
        <v>Nike  Sneakers</v>
      </c>
      <c r="K3" s="11">
        <v>46068</v>
      </c>
    </row>
    <row r="4" spans="1:11">
      <c r="A4" s="6" t="s">
        <v>14</v>
      </c>
      <c r="B4" s="6" t="s">
        <v>15</v>
      </c>
      <c r="C4" s="6" t="s">
        <v>16</v>
      </c>
      <c r="D4" s="6">
        <v>130</v>
      </c>
      <c r="E4" s="6">
        <v>40</v>
      </c>
      <c r="F4" s="6" t="s">
        <v>17</v>
      </c>
      <c r="G4" s="7" t="b">
        <f>ISBLANK(D4)</f>
        <v>0</v>
      </c>
      <c r="H4" s="8" t="str">
        <f>PROPER(B4)</f>
        <v>Coffee Maker</v>
      </c>
      <c r="I4" s="8" t="str">
        <f>RIGHT(A4,2)</f>
        <v>US</v>
      </c>
      <c r="J4" s="8" t="str">
        <f>CONCATENATE(C4,"  ",B4)</f>
        <v>Keurig  Coffee Maker</v>
      </c>
      <c r="K4" s="10">
        <v>46084</v>
      </c>
    </row>
    <row r="5" spans="1:11">
      <c r="A5" s="9" t="s">
        <v>18</v>
      </c>
      <c r="B5" s="9" t="s">
        <v>19</v>
      </c>
      <c r="C5" s="9" t="s">
        <v>20</v>
      </c>
      <c r="D5" s="9">
        <v>900</v>
      </c>
      <c r="E5" s="9">
        <v>25</v>
      </c>
      <c r="F5" s="9" t="s">
        <v>9</v>
      </c>
      <c r="G5" s="7" t="b">
        <f>ISBLANK(D5)</f>
        <v>0</v>
      </c>
      <c r="H5" s="8" t="str">
        <f>PROPER(B5)</f>
        <v>Smartphone</v>
      </c>
      <c r="I5" s="8" t="str">
        <f>RIGHT(A5,2)</f>
        <v>US</v>
      </c>
      <c r="J5" s="8" t="str">
        <f>CONCATENATE(C5,"  ",B5)</f>
        <v>Samsung  Smartphone</v>
      </c>
      <c r="K5" s="11">
        <v>46123</v>
      </c>
    </row>
    <row r="6" spans="1:11">
      <c r="A6" s="6" t="s">
        <v>21</v>
      </c>
      <c r="B6" s="6" t="s">
        <v>22</v>
      </c>
      <c r="C6" s="6" t="s">
        <v>23</v>
      </c>
      <c r="D6" s="6">
        <v>70</v>
      </c>
      <c r="E6" s="6">
        <v>20</v>
      </c>
      <c r="F6" s="6" t="s">
        <v>24</v>
      </c>
      <c r="G6" s="7" t="b">
        <f>ISBLANK(D6)</f>
        <v>0</v>
      </c>
      <c r="H6" s="8" t="str">
        <f>PROPER(B6)</f>
        <v>Backpack</v>
      </c>
      <c r="I6" s="8" t="str">
        <f>RIGHT(A6,2)</f>
        <v>US</v>
      </c>
      <c r="J6" s="8" t="str">
        <f>CONCATENATE(C6,"  ",B6)</f>
        <v>North Face  Backpack</v>
      </c>
      <c r="K6" s="10">
        <v>46164</v>
      </c>
    </row>
    <row r="7" spans="1:11">
      <c r="A7" s="9" t="s">
        <v>25</v>
      </c>
      <c r="B7" s="9" t="s">
        <v>26</v>
      </c>
      <c r="C7" s="9" t="s">
        <v>27</v>
      </c>
      <c r="D7" s="9">
        <v>200</v>
      </c>
      <c r="E7" s="9">
        <v>45</v>
      </c>
      <c r="F7" s="9" t="s">
        <v>9</v>
      </c>
      <c r="G7" s="7" t="b">
        <f>ISBLANK(D7)</f>
        <v>0</v>
      </c>
      <c r="H7" s="8" t="str">
        <f>PROPER(B7)</f>
        <v>Headphones</v>
      </c>
      <c r="I7" s="8" t="str">
        <f>RIGHT(A7,2)</f>
        <v>UK</v>
      </c>
      <c r="J7" s="8" t="str">
        <f>CONCATENATE(C7,"  ",B7)</f>
        <v>Sony  Headphones</v>
      </c>
      <c r="K7" s="11">
        <v>46180</v>
      </c>
    </row>
    <row r="8" spans="1:11">
      <c r="A8" s="6" t="s">
        <v>28</v>
      </c>
      <c r="B8" s="6" t="s">
        <v>29</v>
      </c>
      <c r="C8" s="6" t="s">
        <v>30</v>
      </c>
      <c r="D8" s="6">
        <v>30</v>
      </c>
      <c r="E8" s="6">
        <v>5</v>
      </c>
      <c r="F8" s="6" t="s">
        <v>13</v>
      </c>
      <c r="G8" s="7" t="b">
        <f>ISBLANK(D8)</f>
        <v>0</v>
      </c>
      <c r="H8" s="8" t="str">
        <f>PROPER(B8)</f>
        <v>T-Shirt</v>
      </c>
      <c r="I8" s="8" t="str">
        <f>RIGHT(A8,2)</f>
        <v>UK</v>
      </c>
      <c r="J8" s="8" t="str">
        <f>CONCATENATE(C8,"  ",B8)</f>
        <v>Adidas  T-shirt</v>
      </c>
      <c r="K8" s="10">
        <v>46222</v>
      </c>
    </row>
    <row r="9" spans="1:11">
      <c r="A9" s="9" t="s">
        <v>31</v>
      </c>
      <c r="B9" s="9" t="s">
        <v>32</v>
      </c>
      <c r="C9" s="9" t="s">
        <v>33</v>
      </c>
      <c r="D9" s="9">
        <v>90</v>
      </c>
      <c r="E9" s="9">
        <v>35</v>
      </c>
      <c r="F9" s="9" t="s">
        <v>17</v>
      </c>
      <c r="G9" s="7" t="b">
        <f>ISBLANK(D9)</f>
        <v>0</v>
      </c>
      <c r="H9" s="8" t="str">
        <f>PROPER(B9)</f>
        <v>Blender</v>
      </c>
      <c r="I9" s="8" t="str">
        <f>RIGHT(A9,2)</f>
        <v>UK</v>
      </c>
      <c r="J9" s="8" t="str">
        <f>CONCATENATE(C9,"  ",B9)</f>
        <v>Ninja  Blender</v>
      </c>
      <c r="K9" s="11">
        <v>46257</v>
      </c>
    </row>
    <row r="10" spans="1:11">
      <c r="A10" s="6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6" t="s">
        <v>9</v>
      </c>
      <c r="G10" s="7" t="b">
        <f>ISBLANK(D10)</f>
        <v>0</v>
      </c>
      <c r="H10" s="8" t="str">
        <f>PROPER(B10)</f>
        <v>Tablet</v>
      </c>
      <c r="I10" s="8" t="str">
        <f>RIGHT(A10,2)</f>
        <v>UK</v>
      </c>
      <c r="J10" s="8" t="str">
        <f>CONCATENATE(C10,"  ",B10)</f>
        <v>Apple  Tablet</v>
      </c>
      <c r="K10" s="10">
        <v>46270</v>
      </c>
    </row>
    <row r="11" spans="1:11">
      <c r="A11" s="9" t="s">
        <v>37</v>
      </c>
      <c r="B11" s="9" t="s">
        <v>38</v>
      </c>
      <c r="C11" s="9" t="s">
        <v>39</v>
      </c>
      <c r="D11" s="9">
        <v>130</v>
      </c>
      <c r="E11" s="9">
        <v>10</v>
      </c>
      <c r="F11" s="9" t="s">
        <v>24</v>
      </c>
      <c r="G11" s="7" t="b">
        <f>ISBLANK(D11)</f>
        <v>0</v>
      </c>
      <c r="H11" s="8" t="str">
        <f>PROPER(B11)</f>
        <v>Hiking Boots</v>
      </c>
      <c r="I11" s="8" t="str">
        <f>RIGHT(A11,2)</f>
        <v>UK</v>
      </c>
      <c r="J11" s="8" t="str">
        <f>CONCATENATE(C11,"  ",B11)</f>
        <v>Timberland  Hiking Boots</v>
      </c>
      <c r="K11" s="11">
        <v>46309</v>
      </c>
    </row>
    <row r="12" spans="1:11">
      <c r="A12" s="6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6" t="s">
        <v>9</v>
      </c>
      <c r="G12" s="7" t="b">
        <f>ISBLANK(D12)</f>
        <v>0</v>
      </c>
      <c r="H12" s="8" t="str">
        <f>PROPER(B12)</f>
        <v>Laptop</v>
      </c>
      <c r="I12" s="8" t="str">
        <f>RIGHT(A12,2)</f>
        <v>IN</v>
      </c>
      <c r="J12" s="8" t="str">
        <f>CONCATENATE(C12,"  ",B12)</f>
        <v>HP  Laptop</v>
      </c>
      <c r="K12" s="10">
        <v>46190</v>
      </c>
    </row>
    <row r="13" spans="1:11">
      <c r="A13" s="9" t="s">
        <v>42</v>
      </c>
      <c r="B13" s="9" t="s">
        <v>11</v>
      </c>
      <c r="C13" s="9" t="s">
        <v>30</v>
      </c>
      <c r="D13" s="9">
        <v>90</v>
      </c>
      <c r="E13" s="9">
        <v>40</v>
      </c>
      <c r="F13" s="9" t="s">
        <v>13</v>
      </c>
      <c r="G13" s="7" t="b">
        <f>ISBLANK(D13)</f>
        <v>0</v>
      </c>
      <c r="H13" s="8" t="str">
        <f>PROPER(B13)</f>
        <v>Sneakers</v>
      </c>
      <c r="I13" s="8" t="str">
        <f>RIGHT(A13,2)</f>
        <v>AU</v>
      </c>
      <c r="J13" s="8" t="str">
        <f>CONCATENATE(C13,"  ",B13)</f>
        <v>Adidas  Sneakers</v>
      </c>
      <c r="K13" s="11">
        <v>46351</v>
      </c>
    </row>
    <row r="14" spans="1:11">
      <c r="A14" s="6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6" t="s">
        <v>17</v>
      </c>
      <c r="G14" s="7" t="b">
        <f>ISBLANK(D14)</f>
        <v>0</v>
      </c>
      <c r="H14" s="8" t="str">
        <f>PROPER(B14)</f>
        <v>Coffee Maker</v>
      </c>
      <c r="I14" s="8" t="str">
        <f>RIGHT(A14,2)</f>
        <v>DE</v>
      </c>
      <c r="J14" s="8" t="str">
        <f>CONCATENATE(C14,"  ",B14)</f>
        <v>Nespresso  Coffee Maker</v>
      </c>
      <c r="K14" s="10">
        <v>46364</v>
      </c>
    </row>
    <row r="15" spans="1:11">
      <c r="A15" s="9" t="s">
        <v>45</v>
      </c>
      <c r="B15" s="9" t="s">
        <v>46</v>
      </c>
      <c r="C15" s="9" t="s">
        <v>47</v>
      </c>
      <c r="D15" s="9">
        <v>150</v>
      </c>
      <c r="E15" s="9">
        <v>15</v>
      </c>
      <c r="F15" s="9" t="s">
        <v>9</v>
      </c>
      <c r="G15" s="7" t="b">
        <f>ISBLANK(D15)</f>
        <v>0</v>
      </c>
      <c r="H15" s="8" t="str">
        <f>PROPER(B15)</f>
        <v>Smartwatch</v>
      </c>
      <c r="I15" s="8" t="str">
        <f>RIGHT(A15,2)</f>
        <v>CA</v>
      </c>
      <c r="J15" s="8" t="str">
        <f>CONCATENATE(C15,"  ",B15)</f>
        <v>Fitbit  Smartwatch</v>
      </c>
      <c r="K15" s="11">
        <v>46071</v>
      </c>
    </row>
    <row r="16" spans="1:11">
      <c r="A16" s="6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6" t="s">
        <v>9</v>
      </c>
      <c r="G16" s="7" t="b">
        <f>ISBLANK(D16)</f>
        <v>0</v>
      </c>
      <c r="H16" s="8" t="str">
        <f>PROPER(B16)</f>
        <v>Headphones</v>
      </c>
      <c r="I16" s="8" t="str">
        <f>RIGHT(A16,2)</f>
        <v>ES</v>
      </c>
      <c r="J16" s="8" t="str">
        <f>CONCATENATE(C16,"  ",B16)</f>
        <v>Bose  Headphones</v>
      </c>
      <c r="K16" s="10">
        <v>46128</v>
      </c>
    </row>
    <row r="17" spans="1:11">
      <c r="A17" s="9" t="s">
        <v>50</v>
      </c>
      <c r="B17" s="9" t="s">
        <v>51</v>
      </c>
      <c r="C17" s="9" t="s">
        <v>52</v>
      </c>
      <c r="D17" s="9">
        <v>50</v>
      </c>
      <c r="E17" s="9">
        <v>35</v>
      </c>
      <c r="F17" s="9" t="s">
        <v>53</v>
      </c>
      <c r="G17" s="7" t="b">
        <f>ISBLANK(D17)</f>
        <v>0</v>
      </c>
      <c r="H17" s="8" t="str">
        <f>PROPER(B17)</f>
        <v>Laptop Bag</v>
      </c>
      <c r="I17" s="8" t="str">
        <f>RIGHT(A17,2)</f>
        <v>CA</v>
      </c>
      <c r="J17" s="8" t="str">
        <f>CONCATENATE(C17,"  ",B17)</f>
        <v>Samsonite  Laptop Bag</v>
      </c>
      <c r="K17" s="11">
        <v>46255</v>
      </c>
    </row>
    <row r="18" spans="1:11">
      <c r="A18" s="6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6" t="s">
        <v>9</v>
      </c>
      <c r="G18" s="7" t="b">
        <f>ISBLANK(D18)</f>
        <v>0</v>
      </c>
      <c r="H18" s="8" t="str">
        <f>PROPER(B18)</f>
        <v>Smartwatch</v>
      </c>
      <c r="I18" s="8" t="str">
        <f>RIGHT(A18,2)</f>
        <v>CN</v>
      </c>
      <c r="J18" s="8" t="str">
        <f>CONCATENATE(C18,"  ",B18)</f>
        <v>Huawei  Smartwatch</v>
      </c>
      <c r="K18" s="10">
        <v>46254</v>
      </c>
    </row>
    <row r="19" spans="1:11">
      <c r="A19" s="9" t="s">
        <v>56</v>
      </c>
      <c r="B19" s="9" t="s">
        <v>7</v>
      </c>
      <c r="C19" s="9" t="s">
        <v>57</v>
      </c>
      <c r="D19" s="9">
        <v>980</v>
      </c>
      <c r="E19" s="9">
        <v>10</v>
      </c>
      <c r="F19" s="9" t="s">
        <v>9</v>
      </c>
      <c r="G19" s="7" t="b">
        <f>ISBLANK(D19)</f>
        <v>0</v>
      </c>
      <c r="H19" s="8" t="str">
        <f>PROPER(B19)</f>
        <v>Laptop</v>
      </c>
      <c r="I19" s="8" t="str">
        <f>RIGHT(A19,2)</f>
        <v>IT</v>
      </c>
      <c r="J19" s="8" t="str">
        <f>CONCATENATE(C19,"  ",B19)</f>
        <v>Asus  Laptop</v>
      </c>
      <c r="K19" s="11">
        <v>46049</v>
      </c>
    </row>
    <row r="20" spans="1:11">
      <c r="A20" s="6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6" t="s">
        <v>13</v>
      </c>
      <c r="G20" s="7" t="b">
        <f>ISBLANK(D20)</f>
        <v>0</v>
      </c>
      <c r="H20" s="8" t="str">
        <f>PROPER(B20)</f>
        <v>Sunglasses</v>
      </c>
      <c r="I20" s="8" t="str">
        <f>RIGHT(A20,2)</f>
        <v>UK</v>
      </c>
      <c r="J20" s="8" t="str">
        <f>CONCATENATE(C20,"  ",B20)</f>
        <v>Oakley  Sunglasses</v>
      </c>
      <c r="K20" s="10">
        <v>46082</v>
      </c>
    </row>
    <row r="21" spans="1:11">
      <c r="A21" s="9" t="s">
        <v>61</v>
      </c>
      <c r="B21" s="9" t="s">
        <v>62</v>
      </c>
      <c r="C21" s="9" t="s">
        <v>63</v>
      </c>
      <c r="D21" s="9">
        <v>200</v>
      </c>
      <c r="E21" s="9">
        <v>10</v>
      </c>
      <c r="F21" s="9" t="s">
        <v>24</v>
      </c>
      <c r="G21" s="7" t="b">
        <f>ISBLANK(D21)</f>
        <v>0</v>
      </c>
      <c r="H21" s="8" t="str">
        <f>PROPER(B21)</f>
        <v>Camping Tent</v>
      </c>
      <c r="I21" s="8" t="str">
        <f>RIGHT(A21,2)</f>
        <v>US</v>
      </c>
      <c r="J21" s="8" t="str">
        <f>CONCATENATE(C21,"  ",B21)</f>
        <v>Coleman  Camping Tent</v>
      </c>
      <c r="K21" s="11">
        <v>46248</v>
      </c>
    </row>
    <row r="22" spans="1:11">
      <c r="A22" s="6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6" t="s">
        <v>9</v>
      </c>
      <c r="G22" s="7" t="b">
        <f>ISBLANK(D22)</f>
        <v>0</v>
      </c>
      <c r="H22" s="8" t="str">
        <f>PROPER(B22)</f>
        <v>Camera</v>
      </c>
      <c r="I22" s="8" t="str">
        <f>RIGHT(A22,2)</f>
        <v>RU</v>
      </c>
      <c r="J22" s="8" t="str">
        <f>CONCATENATE(C22,"  ",B22)</f>
        <v>Nikon  Camera</v>
      </c>
      <c r="K22" s="10">
        <v>46156</v>
      </c>
    </row>
    <row r="23" spans="1:11">
      <c r="A23" s="9" t="s">
        <v>67</v>
      </c>
      <c r="B23" s="9" t="s">
        <v>68</v>
      </c>
      <c r="C23" s="9" t="s">
        <v>69</v>
      </c>
      <c r="D23" s="9">
        <v>80</v>
      </c>
      <c r="E23" s="9">
        <v>20</v>
      </c>
      <c r="F23" s="9" t="s">
        <v>17</v>
      </c>
      <c r="G23" s="7" t="b">
        <f>ISBLANK(D23)</f>
        <v>0</v>
      </c>
      <c r="H23" s="8" t="str">
        <f>PROPER(B23)</f>
        <v>Microwave</v>
      </c>
      <c r="I23" s="8" t="str">
        <f>RIGHT(A23,2)</f>
        <v>CA</v>
      </c>
      <c r="J23" s="8" t="str">
        <f>CONCATENATE(C23,"  ",B23)</f>
        <v>Panasonic  Microwave</v>
      </c>
      <c r="K23" s="11">
        <v>46031</v>
      </c>
    </row>
    <row r="24" spans="1:11">
      <c r="A24" s="6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6" t="s">
        <v>9</v>
      </c>
      <c r="G24" s="7" t="b">
        <f>ISBLANK(D24)</f>
        <v>0</v>
      </c>
      <c r="H24" s="8" t="str">
        <f>PROPER(B24)</f>
        <v>Fitness Tracker</v>
      </c>
      <c r="I24" s="8" t="str">
        <f>RIGHT(A24,2)</f>
        <v>BR</v>
      </c>
      <c r="J24" s="8" t="str">
        <f>CONCATENATE(C24,"  ",B24)</f>
        <v>Xiaomi  Fitness Tracker</v>
      </c>
      <c r="K24" s="10">
        <v>46222</v>
      </c>
    </row>
    <row r="25" spans="1:11">
      <c r="A25" s="6" t="s">
        <v>73</v>
      </c>
      <c r="B25" s="6" t="s">
        <v>19</v>
      </c>
      <c r="C25" s="6" t="s">
        <v>74</v>
      </c>
      <c r="D25" s="6">
        <v>800</v>
      </c>
      <c r="E25" s="6">
        <v>45</v>
      </c>
      <c r="F25" s="6" t="s">
        <v>9</v>
      </c>
      <c r="G25" s="7" t="b">
        <f>ISBLANK(D25)</f>
        <v>0</v>
      </c>
      <c r="H25" s="8" t="str">
        <f>PROPER(B25)</f>
        <v>Smartphone</v>
      </c>
      <c r="I25" s="8" t="str">
        <f>RIGHT(A25,2)</f>
        <v>CA</v>
      </c>
      <c r="J25" s="8" t="str">
        <f>CONCATENATE(C25,"  ",B25)</f>
        <v>Google  Smartphone</v>
      </c>
      <c r="K25" s="10">
        <v>46294</v>
      </c>
    </row>
    <row r="26" spans="1:11">
      <c r="A26" s="9" t="s">
        <v>75</v>
      </c>
      <c r="B26" s="9" t="s">
        <v>59</v>
      </c>
      <c r="C26" s="9" t="s">
        <v>76</v>
      </c>
      <c r="D26" s="9">
        <v>130</v>
      </c>
      <c r="E26" s="9">
        <v>25</v>
      </c>
      <c r="F26" s="9" t="s">
        <v>13</v>
      </c>
      <c r="G26" s="7" t="b">
        <f>ISBLANK(D26)</f>
        <v>0</v>
      </c>
      <c r="H26" s="8" t="str">
        <f>PROPER(B26)</f>
        <v>Sunglasses</v>
      </c>
      <c r="I26" s="8" t="str">
        <f>RIGHT(A26,2)</f>
        <v>CA</v>
      </c>
      <c r="J26" s="8" t="str">
        <f>CONCATENATE(C26,"  ",B26)</f>
        <v>Ray-Ban  Sunglasses</v>
      </c>
      <c r="K26" s="11">
        <v>46176</v>
      </c>
    </row>
    <row r="27" spans="1:11">
      <c r="A27" s="6" t="s">
        <v>77</v>
      </c>
      <c r="B27" s="6" t="s">
        <v>32</v>
      </c>
      <c r="C27" s="6" t="s">
        <v>78</v>
      </c>
      <c r="D27" s="6">
        <v>400</v>
      </c>
      <c r="E27" s="6">
        <v>40</v>
      </c>
      <c r="F27" s="6" t="s">
        <v>17</v>
      </c>
      <c r="G27" s="7" t="b">
        <f>ISBLANK(D27)</f>
        <v>0</v>
      </c>
      <c r="H27" s="8" t="str">
        <f>PROPER(B27)</f>
        <v>Blender</v>
      </c>
      <c r="I27" s="8" t="str">
        <f>RIGHT(A27,2)</f>
        <v>CA</v>
      </c>
      <c r="J27" s="8" t="str">
        <f>CONCATENATE(C27,"  ",B27)</f>
        <v>Vitamix  Blender</v>
      </c>
      <c r="K27" s="10">
        <v>46214</v>
      </c>
    </row>
    <row r="28" spans="1:11">
      <c r="A28" s="6" t="s">
        <v>79</v>
      </c>
      <c r="B28" s="6" t="s">
        <v>80</v>
      </c>
      <c r="C28" s="6" t="s">
        <v>81</v>
      </c>
      <c r="D28" s="6">
        <v>60</v>
      </c>
      <c r="E28" s="6">
        <v>30</v>
      </c>
      <c r="F28" s="6" t="s">
        <v>13</v>
      </c>
      <c r="G28" s="7" t="b">
        <f>ISBLANK(D28)</f>
        <v>0</v>
      </c>
      <c r="H28" s="8" t="str">
        <f>PROPER(B28)</f>
        <v>Dress</v>
      </c>
      <c r="I28" s="8" t="str">
        <f>RIGHT(A28,2)</f>
        <v>CA</v>
      </c>
      <c r="J28" s="8" t="str">
        <f>CONCATENATE(C28,"  ",B28)</f>
        <v>Zara  Dress</v>
      </c>
      <c r="K28" s="10">
        <v>46088</v>
      </c>
    </row>
    <row r="29" spans="1:11">
      <c r="A29" s="9" t="s">
        <v>82</v>
      </c>
      <c r="B29" s="9" t="s">
        <v>83</v>
      </c>
      <c r="C29" s="9" t="s">
        <v>84</v>
      </c>
      <c r="D29" s="9">
        <v>40</v>
      </c>
      <c r="E29" s="9">
        <v>10</v>
      </c>
      <c r="F29" s="9" t="s">
        <v>17</v>
      </c>
      <c r="G29" s="7" t="b">
        <f>ISBLANK(D29)</f>
        <v>0</v>
      </c>
      <c r="H29" s="8" t="str">
        <f>PROPER(B29)</f>
        <v>Toaster</v>
      </c>
      <c r="I29" s="8" t="str">
        <f>RIGHT(A29,2)</f>
        <v>CA</v>
      </c>
      <c r="J29" s="8" t="str">
        <f>CONCATENATE(C29,"  ",B29)</f>
        <v>Hamilton  Toaster</v>
      </c>
      <c r="K29" s="11">
        <v>46125</v>
      </c>
    </row>
    <row r="30" spans="1:11">
      <c r="A30" s="6" t="s">
        <v>85</v>
      </c>
      <c r="B30" s="6" t="s">
        <v>71</v>
      </c>
      <c r="C30" s="6" t="s">
        <v>86</v>
      </c>
      <c r="D30" s="6">
        <v>130</v>
      </c>
      <c r="E30" s="6">
        <v>5</v>
      </c>
      <c r="F30" s="6" t="s">
        <v>9</v>
      </c>
      <c r="G30" s="7" t="b">
        <f>ISBLANK(D30)</f>
        <v>0</v>
      </c>
      <c r="H30" s="8" t="str">
        <f>PROPER(B30)</f>
        <v>Fitness Tracker</v>
      </c>
      <c r="I30" s="8" t="str">
        <f>RIGHT(A30,2)</f>
        <v>CA</v>
      </c>
      <c r="J30" s="8" t="str">
        <f>CONCATENATE(C30,"  ",B30)</f>
        <v>Garmin  Fitness Tracker</v>
      </c>
      <c r="K30" s="10">
        <v>46166</v>
      </c>
    </row>
    <row r="31" spans="1:11">
      <c r="A31" s="9" t="s">
        <v>87</v>
      </c>
      <c r="B31" s="9" t="s">
        <v>88</v>
      </c>
      <c r="C31" s="9" t="s">
        <v>89</v>
      </c>
      <c r="D31" s="9">
        <v>50</v>
      </c>
      <c r="E31" s="9">
        <v>50</v>
      </c>
      <c r="F31" s="9" t="s">
        <v>13</v>
      </c>
      <c r="G31" s="7" t="b">
        <f>ISBLANK(D31)</f>
        <v>0</v>
      </c>
      <c r="H31" s="8" t="str">
        <f>PROPER(B31)</f>
        <v>Jeans</v>
      </c>
      <c r="I31" s="8" t="str">
        <f>RIGHT(A31,2)</f>
        <v>CA</v>
      </c>
      <c r="J31" s="8" t="str">
        <f>CONCATENATE(C31,"  ",B31)</f>
        <v>Levi's  Jeans</v>
      </c>
      <c r="K31" s="11">
        <v>46358</v>
      </c>
    </row>
    <row r="32" spans="1:11">
      <c r="A32" s="9" t="s">
        <v>90</v>
      </c>
      <c r="B32" s="9" t="s">
        <v>91</v>
      </c>
      <c r="C32" s="9" t="s">
        <v>92</v>
      </c>
      <c r="D32" s="9">
        <v>100</v>
      </c>
      <c r="E32" s="9">
        <v>20</v>
      </c>
      <c r="F32" s="9" t="s">
        <v>53</v>
      </c>
      <c r="G32" s="7" t="b">
        <f>ISBLANK(D32)</f>
        <v>0</v>
      </c>
      <c r="H32" s="8" t="str">
        <f>PROPER(B32)</f>
        <v>Watch</v>
      </c>
      <c r="I32" s="8" t="str">
        <f>RIGHT(A32,2)</f>
        <v>FR</v>
      </c>
      <c r="J32" s="8" t="str">
        <f>CONCATENATE(C32,"  ",B32)</f>
        <v>Casio  Watch</v>
      </c>
      <c r="K32" s="11">
        <v>46212</v>
      </c>
    </row>
  </sheetData>
  <conditionalFormatting sqref="D2:D32">
    <cfRule type="cellIs" dxfId="1" priority="2" operator="greaterThan">
      <formula>500</formula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selection activeCell="H23" sqref="H23"/>
    </sheetView>
  </sheetViews>
  <sheetFormatPr defaultColWidth="9.140625" defaultRowHeight="12.75"/>
  <sheetData>
    <row r="1" spans="1:10" ht="18">
      <c r="A1" s="5" t="s">
        <v>98</v>
      </c>
      <c r="I1" s="12" t="s">
        <v>99</v>
      </c>
      <c r="J1" s="12"/>
    </row>
    <row r="3" spans="1:10" ht="14.25">
      <c r="F3" s="13" t="s">
        <v>100</v>
      </c>
    </row>
    <row r="5" spans="1:10">
      <c r="G5" s="5" t="s">
        <v>101</v>
      </c>
    </row>
    <row r="6" spans="1:10">
      <c r="H6" s="5" t="s">
        <v>103</v>
      </c>
    </row>
    <row r="8" spans="1:10">
      <c r="G8" s="5" t="s">
        <v>104</v>
      </c>
    </row>
    <row r="9" spans="1:10">
      <c r="H9" s="5" t="s">
        <v>105</v>
      </c>
    </row>
    <row r="10" spans="1:10">
      <c r="H10" s="5" t="s">
        <v>106</v>
      </c>
    </row>
    <row r="11" spans="1:10">
      <c r="G11" s="5"/>
    </row>
    <row r="12" spans="1:10">
      <c r="G12" s="5" t="s">
        <v>108</v>
      </c>
    </row>
    <row r="13" spans="1:10">
      <c r="H13" s="5" t="s">
        <v>109</v>
      </c>
    </row>
    <row r="15" spans="1:10">
      <c r="G15" s="5" t="s">
        <v>107</v>
      </c>
    </row>
    <row r="16" spans="1:10">
      <c r="H16" s="5" t="s">
        <v>110</v>
      </c>
    </row>
    <row r="17" spans="7:8">
      <c r="H17" s="5" t="s">
        <v>111</v>
      </c>
    </row>
    <row r="19" spans="7:8">
      <c r="G19" s="5" t="s">
        <v>112</v>
      </c>
    </row>
    <row r="20" spans="7:8">
      <c r="H20" s="5" t="s">
        <v>113</v>
      </c>
    </row>
    <row r="22" spans="7:8">
      <c r="G22" s="5" t="s">
        <v>114</v>
      </c>
    </row>
    <row r="23" spans="7:8">
      <c r="H23" s="5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selection activeCell="B30" sqref="B30"/>
    </sheetView>
  </sheetViews>
  <sheetFormatPr defaultRowHeight="12.75"/>
  <cols>
    <col min="1" max="1" width="15" customWidth="1"/>
    <col min="2" max="2" width="16.28515625" customWidth="1"/>
    <col min="3" max="3" width="12.7109375" customWidth="1"/>
    <col min="4" max="4" width="12.140625" customWidth="1"/>
    <col min="5" max="5" width="11.7109375" customWidth="1"/>
    <col min="6" max="6" width="26" customWidth="1"/>
  </cols>
  <sheetData>
    <row r="1" spans="1: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4" t="s">
        <v>6</v>
      </c>
      <c r="B2" s="14" t="s">
        <v>7</v>
      </c>
      <c r="C2" s="14" t="s">
        <v>8</v>
      </c>
      <c r="D2" s="14">
        <v>1000</v>
      </c>
      <c r="E2" s="14">
        <v>30</v>
      </c>
      <c r="F2" s="14" t="s">
        <v>9</v>
      </c>
    </row>
    <row r="3" spans="1:6">
      <c r="A3" s="16" t="s">
        <v>10</v>
      </c>
      <c r="B3" s="16" t="s">
        <v>11</v>
      </c>
      <c r="C3" s="16" t="s">
        <v>12</v>
      </c>
      <c r="D3" s="16">
        <v>80</v>
      </c>
      <c r="E3" s="16">
        <v>15</v>
      </c>
      <c r="F3" s="16" t="s">
        <v>13</v>
      </c>
    </row>
    <row r="4" spans="1:6">
      <c r="A4" s="14" t="s">
        <v>14</v>
      </c>
      <c r="B4" s="14" t="s">
        <v>15</v>
      </c>
      <c r="C4" s="14" t="s">
        <v>16</v>
      </c>
      <c r="D4" s="14">
        <v>130</v>
      </c>
      <c r="E4" s="14">
        <v>40</v>
      </c>
      <c r="F4" s="14" t="s">
        <v>17</v>
      </c>
    </row>
    <row r="5" spans="1:6">
      <c r="A5" s="16" t="s">
        <v>18</v>
      </c>
      <c r="B5" s="16" t="s">
        <v>19</v>
      </c>
      <c r="C5" s="16" t="s">
        <v>20</v>
      </c>
      <c r="D5" s="16">
        <v>900</v>
      </c>
      <c r="E5" s="16">
        <v>25</v>
      </c>
      <c r="F5" s="16" t="s">
        <v>9</v>
      </c>
    </row>
    <row r="6" spans="1:6">
      <c r="A6" s="14" t="s">
        <v>21</v>
      </c>
      <c r="B6" s="14" t="s">
        <v>22</v>
      </c>
      <c r="C6" s="14" t="s">
        <v>23</v>
      </c>
      <c r="D6" s="14">
        <v>70</v>
      </c>
      <c r="E6" s="14">
        <v>20</v>
      </c>
      <c r="F6" s="14" t="s">
        <v>24</v>
      </c>
    </row>
    <row r="7" spans="1:6">
      <c r="A7" s="16" t="s">
        <v>25</v>
      </c>
      <c r="B7" s="16" t="s">
        <v>26</v>
      </c>
      <c r="C7" s="16" t="s">
        <v>27</v>
      </c>
      <c r="D7" s="16">
        <v>200</v>
      </c>
      <c r="E7" s="16">
        <v>45</v>
      </c>
      <c r="F7" s="16" t="s">
        <v>9</v>
      </c>
    </row>
    <row r="8" spans="1:6">
      <c r="A8" s="14" t="s">
        <v>28</v>
      </c>
      <c r="B8" s="14" t="s">
        <v>29</v>
      </c>
      <c r="C8" s="14" t="s">
        <v>30</v>
      </c>
      <c r="D8" s="14">
        <v>30</v>
      </c>
      <c r="E8" s="14">
        <v>5</v>
      </c>
      <c r="F8" s="14" t="s">
        <v>13</v>
      </c>
    </row>
    <row r="9" spans="1:6">
      <c r="A9" s="16" t="s">
        <v>31</v>
      </c>
      <c r="B9" s="16" t="s">
        <v>32</v>
      </c>
      <c r="C9" s="16" t="s">
        <v>33</v>
      </c>
      <c r="D9" s="16">
        <v>90</v>
      </c>
      <c r="E9" s="16">
        <v>35</v>
      </c>
      <c r="F9" s="16" t="s">
        <v>17</v>
      </c>
    </row>
    <row r="10" spans="1:6">
      <c r="A10" s="14" t="s">
        <v>34</v>
      </c>
      <c r="B10" s="14" t="s">
        <v>35</v>
      </c>
      <c r="C10" s="14" t="s">
        <v>36</v>
      </c>
      <c r="D10" s="14">
        <v>500</v>
      </c>
      <c r="E10" s="14">
        <v>50</v>
      </c>
      <c r="F10" s="14" t="s">
        <v>9</v>
      </c>
    </row>
    <row r="11" spans="1:6">
      <c r="A11" s="16" t="s">
        <v>37</v>
      </c>
      <c r="B11" s="16" t="s">
        <v>38</v>
      </c>
      <c r="C11" s="16" t="s">
        <v>39</v>
      </c>
      <c r="D11" s="16">
        <v>130</v>
      </c>
      <c r="E11" s="16">
        <v>10</v>
      </c>
      <c r="F11" s="16" t="s">
        <v>24</v>
      </c>
    </row>
    <row r="12" spans="1:6">
      <c r="A12" s="14" t="s">
        <v>40</v>
      </c>
      <c r="B12" s="14" t="s">
        <v>7</v>
      </c>
      <c r="C12" s="14" t="s">
        <v>41</v>
      </c>
      <c r="D12" s="14">
        <v>950</v>
      </c>
      <c r="E12" s="14">
        <v>25</v>
      </c>
      <c r="F12" s="14" t="s">
        <v>9</v>
      </c>
    </row>
    <row r="13" spans="1:6">
      <c r="A13" s="16" t="s">
        <v>42</v>
      </c>
      <c r="B13" s="16" t="s">
        <v>11</v>
      </c>
      <c r="C13" s="16" t="s">
        <v>30</v>
      </c>
      <c r="D13" s="16">
        <v>90</v>
      </c>
      <c r="E13" s="16">
        <v>40</v>
      </c>
      <c r="F13" s="16" t="s">
        <v>13</v>
      </c>
    </row>
    <row r="14" spans="1:6">
      <c r="A14" s="14" t="s">
        <v>43</v>
      </c>
      <c r="B14" s="14" t="s">
        <v>15</v>
      </c>
      <c r="C14" s="14" t="s">
        <v>44</v>
      </c>
      <c r="D14" s="14">
        <v>120</v>
      </c>
      <c r="E14" s="14">
        <v>35</v>
      </c>
      <c r="F14" s="14" t="s">
        <v>17</v>
      </c>
    </row>
    <row r="15" spans="1:6">
      <c r="A15" s="16" t="s">
        <v>45</v>
      </c>
      <c r="B15" s="16" t="s">
        <v>46</v>
      </c>
      <c r="C15" s="16" t="s">
        <v>47</v>
      </c>
      <c r="D15" s="16">
        <v>150</v>
      </c>
      <c r="E15" s="16">
        <v>15</v>
      </c>
      <c r="F15" s="16" t="s">
        <v>9</v>
      </c>
    </row>
    <row r="16" spans="1:6">
      <c r="A16" s="14" t="s">
        <v>48</v>
      </c>
      <c r="B16" s="14" t="s">
        <v>26</v>
      </c>
      <c r="C16" s="14" t="s">
        <v>49</v>
      </c>
      <c r="D16" s="14">
        <v>250</v>
      </c>
      <c r="E16" s="14">
        <v>20</v>
      </c>
      <c r="F16" s="14" t="s">
        <v>9</v>
      </c>
    </row>
    <row r="17" spans="1:6">
      <c r="A17" s="16" t="s">
        <v>50</v>
      </c>
      <c r="B17" s="16" t="s">
        <v>51</v>
      </c>
      <c r="C17" s="16" t="s">
        <v>52</v>
      </c>
      <c r="D17" s="16">
        <v>50</v>
      </c>
      <c r="E17" s="16">
        <v>35</v>
      </c>
      <c r="F17" s="16" t="s">
        <v>53</v>
      </c>
    </row>
    <row r="18" spans="1:6">
      <c r="A18" s="14" t="s">
        <v>54</v>
      </c>
      <c r="B18" s="14" t="s">
        <v>46</v>
      </c>
      <c r="C18" s="14" t="s">
        <v>55</v>
      </c>
      <c r="D18" s="14">
        <v>160</v>
      </c>
      <c r="E18" s="14">
        <v>15</v>
      </c>
      <c r="F18" s="14" t="s">
        <v>9</v>
      </c>
    </row>
    <row r="19" spans="1:6">
      <c r="A19" s="16" t="s">
        <v>56</v>
      </c>
      <c r="B19" s="16" t="s">
        <v>7</v>
      </c>
      <c r="C19" s="16" t="s">
        <v>57</v>
      </c>
      <c r="D19" s="16">
        <v>980</v>
      </c>
      <c r="E19" s="16">
        <v>10</v>
      </c>
      <c r="F19" s="16" t="s">
        <v>9</v>
      </c>
    </row>
    <row r="20" spans="1:6">
      <c r="A20" s="14" t="s">
        <v>58</v>
      </c>
      <c r="B20" s="14" t="s">
        <v>59</v>
      </c>
      <c r="C20" s="14" t="s">
        <v>60</v>
      </c>
      <c r="D20" s="14">
        <v>150</v>
      </c>
      <c r="E20" s="14">
        <v>15</v>
      </c>
      <c r="F20" s="14" t="s">
        <v>13</v>
      </c>
    </row>
    <row r="21" spans="1:6">
      <c r="A21" s="16" t="s">
        <v>61</v>
      </c>
      <c r="B21" s="16" t="s">
        <v>62</v>
      </c>
      <c r="C21" s="16" t="s">
        <v>63</v>
      </c>
      <c r="D21" s="16">
        <v>200</v>
      </c>
      <c r="E21" s="16">
        <v>10</v>
      </c>
      <c r="F21" s="16" t="s">
        <v>24</v>
      </c>
    </row>
    <row r="22" spans="1:6">
      <c r="A22" s="14" t="s">
        <v>64</v>
      </c>
      <c r="B22" s="14" t="s">
        <v>65</v>
      </c>
      <c r="C22" s="14" t="s">
        <v>66</v>
      </c>
      <c r="D22" s="14">
        <v>700</v>
      </c>
      <c r="E22" s="14">
        <v>50</v>
      </c>
      <c r="F22" s="14" t="s">
        <v>9</v>
      </c>
    </row>
    <row r="23" spans="1:6">
      <c r="A23" s="16" t="s">
        <v>67</v>
      </c>
      <c r="B23" s="16" t="s">
        <v>68</v>
      </c>
      <c r="C23" s="16" t="s">
        <v>69</v>
      </c>
      <c r="D23" s="16">
        <v>80</v>
      </c>
      <c r="E23" s="16">
        <v>20</v>
      </c>
      <c r="F23" s="16" t="s">
        <v>17</v>
      </c>
    </row>
    <row r="24" spans="1:6">
      <c r="A24" s="14" t="s">
        <v>70</v>
      </c>
      <c r="B24" s="14" t="s">
        <v>71</v>
      </c>
      <c r="C24" s="14" t="s">
        <v>72</v>
      </c>
      <c r="D24" s="14">
        <v>150</v>
      </c>
      <c r="E24" s="14">
        <v>30</v>
      </c>
      <c r="F24" s="14" t="s">
        <v>9</v>
      </c>
    </row>
    <row r="25" spans="1:6">
      <c r="A25" s="16" t="s">
        <v>50</v>
      </c>
      <c r="B25" s="16" t="s">
        <v>51</v>
      </c>
      <c r="C25" s="16" t="s">
        <v>52</v>
      </c>
      <c r="D25" s="16">
        <v>50</v>
      </c>
      <c r="E25" s="16">
        <v>35</v>
      </c>
      <c r="F25" s="16" t="s">
        <v>53</v>
      </c>
    </row>
    <row r="26" spans="1:6">
      <c r="A26" s="14" t="s">
        <v>73</v>
      </c>
      <c r="B26" s="14" t="s">
        <v>19</v>
      </c>
      <c r="C26" s="14" t="s">
        <v>74</v>
      </c>
      <c r="D26" s="14">
        <v>800</v>
      </c>
      <c r="E26" s="14">
        <v>45</v>
      </c>
      <c r="F26" s="14" t="s">
        <v>9</v>
      </c>
    </row>
    <row r="27" spans="1:6">
      <c r="A27" s="16" t="s">
        <v>75</v>
      </c>
      <c r="B27" s="16" t="s">
        <v>59</v>
      </c>
      <c r="C27" s="16" t="s">
        <v>76</v>
      </c>
      <c r="D27" s="16">
        <v>130</v>
      </c>
      <c r="E27" s="16">
        <v>25</v>
      </c>
      <c r="F27" s="16" t="s">
        <v>13</v>
      </c>
    </row>
    <row r="28" spans="1:6">
      <c r="A28" s="14" t="s">
        <v>77</v>
      </c>
      <c r="B28" s="14" t="s">
        <v>32</v>
      </c>
      <c r="C28" s="14" t="s">
        <v>78</v>
      </c>
      <c r="D28" s="14">
        <v>400</v>
      </c>
      <c r="E28" s="14">
        <v>40</v>
      </c>
      <c r="F28" s="14" t="s">
        <v>17</v>
      </c>
    </row>
    <row r="29" spans="1:6">
      <c r="A29" s="16" t="s">
        <v>48</v>
      </c>
      <c r="B29" s="16" t="s">
        <v>26</v>
      </c>
      <c r="C29" s="16" t="s">
        <v>49</v>
      </c>
      <c r="D29" s="16">
        <v>230</v>
      </c>
      <c r="E29" s="16">
        <v>20</v>
      </c>
      <c r="F29" s="16" t="s">
        <v>9</v>
      </c>
    </row>
    <row r="30" spans="1:6">
      <c r="A30" s="14" t="s">
        <v>79</v>
      </c>
      <c r="B30" s="14" t="s">
        <v>80</v>
      </c>
      <c r="C30" s="14" t="s">
        <v>81</v>
      </c>
      <c r="D30" s="14">
        <v>60</v>
      </c>
      <c r="E30" s="14">
        <v>30</v>
      </c>
      <c r="F30" s="14" t="s">
        <v>13</v>
      </c>
    </row>
    <row r="31" spans="1:6">
      <c r="A31" s="16" t="s">
        <v>82</v>
      </c>
      <c r="B31" s="16" t="s">
        <v>83</v>
      </c>
      <c r="C31" s="16" t="s">
        <v>84</v>
      </c>
      <c r="D31" s="16">
        <v>40</v>
      </c>
      <c r="E31" s="16">
        <v>10</v>
      </c>
      <c r="F31" s="16" t="s">
        <v>17</v>
      </c>
    </row>
    <row r="32" spans="1:6">
      <c r="A32" s="14" t="s">
        <v>85</v>
      </c>
      <c r="B32" s="14" t="s">
        <v>71</v>
      </c>
      <c r="C32" s="14" t="s">
        <v>86</v>
      </c>
      <c r="D32" s="14">
        <v>130</v>
      </c>
      <c r="E32" s="14">
        <v>5</v>
      </c>
      <c r="F32" s="14" t="s">
        <v>9</v>
      </c>
    </row>
    <row r="33" spans="1:6">
      <c r="A33" s="16" t="s">
        <v>87</v>
      </c>
      <c r="B33" s="16" t="s">
        <v>88</v>
      </c>
      <c r="C33" s="16" t="s">
        <v>89</v>
      </c>
      <c r="D33" s="16">
        <v>50</v>
      </c>
      <c r="E33" s="16">
        <v>50</v>
      </c>
      <c r="F33" s="16" t="s">
        <v>13</v>
      </c>
    </row>
    <row r="34" spans="1:6">
      <c r="A34" s="14" t="s">
        <v>40</v>
      </c>
      <c r="B34" s="14" t="s">
        <v>7</v>
      </c>
      <c r="C34" s="14" t="s">
        <v>41</v>
      </c>
      <c r="D34" s="14">
        <v>950</v>
      </c>
      <c r="E34" s="14">
        <v>25</v>
      </c>
      <c r="F34" s="14" t="s">
        <v>9</v>
      </c>
    </row>
    <row r="35" spans="1:6">
      <c r="A35" s="16" t="s">
        <v>90</v>
      </c>
      <c r="B35" s="16" t="s">
        <v>91</v>
      </c>
      <c r="C35" s="16" t="s">
        <v>92</v>
      </c>
      <c r="D35" s="16">
        <v>100</v>
      </c>
      <c r="E35" s="16">
        <v>20</v>
      </c>
      <c r="F35" s="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</vt:lpstr>
      <vt:lpstr>Data Cleaning</vt:lpstr>
      <vt:lpstr>Observation</vt:lpstr>
      <vt:lpstr>Data 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2026-07-03T10:14:43Z</dcterms:created>
  <dcterms:modified xsi:type="dcterms:W3CDTF">2026-07-03T11:14:37Z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BA00EBC39D1D468D9C8CB8D2CFB00472_12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